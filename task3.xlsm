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лиска\Documents\home\education\bachelor\3-semester\inf\"/>
    </mc:Choice>
  </mc:AlternateContent>
  <bookViews>
    <workbookView xWindow="0" yWindow="0" windowWidth="20490" windowHeight="7320" activeTab="1"/>
  </bookViews>
  <sheets>
    <sheet name="задание 1" sheetId="1" r:id="rId1"/>
    <sheet name="задание 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2" l="1"/>
  <c r="Q4" i="2"/>
  <c r="O4" i="2"/>
  <c r="C17" i="2"/>
  <c r="B18" i="2"/>
  <c r="C18" i="2" s="1"/>
  <c r="G4" i="2"/>
  <c r="E4" i="2"/>
  <c r="C4" i="2"/>
  <c r="F4" i="2" s="1"/>
  <c r="I19" i="1"/>
  <c r="J22" i="1"/>
  <c r="D13" i="1"/>
  <c r="H13" i="1"/>
  <c r="L13" i="1"/>
  <c r="P13" i="1"/>
  <c r="T13" i="1"/>
  <c r="C14" i="1"/>
  <c r="G14" i="1"/>
  <c r="K14" i="1"/>
  <c r="O14" i="1"/>
  <c r="S14" i="1"/>
  <c r="B15" i="1"/>
  <c r="F15" i="1"/>
  <c r="J15" i="1"/>
  <c r="N15" i="1"/>
  <c r="R15" i="1"/>
  <c r="V15" i="1"/>
  <c r="E16" i="1"/>
  <c r="I16" i="1"/>
  <c r="M16" i="1"/>
  <c r="Q16" i="1"/>
  <c r="U16" i="1"/>
  <c r="D17" i="1"/>
  <c r="H17" i="1"/>
  <c r="L17" i="1"/>
  <c r="P17" i="1"/>
  <c r="T17" i="1"/>
  <c r="C18" i="1"/>
  <c r="G18" i="1"/>
  <c r="K18" i="1"/>
  <c r="O18" i="1"/>
  <c r="S18" i="1"/>
  <c r="B19" i="1"/>
  <c r="F19" i="1"/>
  <c r="J19" i="1"/>
  <c r="N19" i="1"/>
  <c r="R19" i="1"/>
  <c r="V19" i="1"/>
  <c r="E20" i="1"/>
  <c r="I20" i="1"/>
  <c r="M20" i="1"/>
  <c r="Q20" i="1"/>
  <c r="U20" i="1"/>
  <c r="D21" i="1"/>
  <c r="H21" i="1"/>
  <c r="L21" i="1"/>
  <c r="P21" i="1"/>
  <c r="T21" i="1"/>
  <c r="C22" i="1"/>
  <c r="G22" i="1"/>
  <c r="K22" i="1"/>
  <c r="O22" i="1"/>
  <c r="S22" i="1"/>
  <c r="L15" i="1"/>
  <c r="C16" i="1"/>
  <c r="K16" i="1"/>
  <c r="S16" i="1"/>
  <c r="F17" i="1"/>
  <c r="N17" i="1"/>
  <c r="V17" i="1"/>
  <c r="I18" i="1"/>
  <c r="Q18" i="1"/>
  <c r="D19" i="1"/>
  <c r="P19" i="1"/>
  <c r="C20" i="1"/>
  <c r="K20" i="1"/>
  <c r="S20" i="1"/>
  <c r="F21" i="1"/>
  <c r="N21" i="1"/>
  <c r="V21" i="1"/>
  <c r="I22" i="1"/>
  <c r="Q22" i="1"/>
  <c r="C13" i="1"/>
  <c r="O13" i="1"/>
  <c r="B14" i="1"/>
  <c r="J14" i="1"/>
  <c r="R14" i="1"/>
  <c r="E15" i="1"/>
  <c r="M15" i="1"/>
  <c r="Q15" i="1"/>
  <c r="U15" i="1"/>
  <c r="D16" i="1"/>
  <c r="H16" i="1"/>
  <c r="P16" i="1"/>
  <c r="T16" i="1"/>
  <c r="G17" i="1"/>
  <c r="S17" i="1"/>
  <c r="F18" i="1"/>
  <c r="N18" i="1"/>
  <c r="E19" i="1"/>
  <c r="Q19" i="1"/>
  <c r="D20" i="1"/>
  <c r="L20" i="1"/>
  <c r="T20" i="1"/>
  <c r="G21" i="1"/>
  <c r="S21" i="1"/>
  <c r="F22" i="1"/>
  <c r="R22" i="1"/>
  <c r="E13" i="1"/>
  <c r="I13" i="1"/>
  <c r="M13" i="1"/>
  <c r="Q13" i="1"/>
  <c r="U13" i="1"/>
  <c r="D14" i="1"/>
  <c r="H14" i="1"/>
  <c r="L14" i="1"/>
  <c r="P14" i="1"/>
  <c r="T14" i="1"/>
  <c r="C15" i="1"/>
  <c r="G15" i="1"/>
  <c r="K15" i="1"/>
  <c r="O15" i="1"/>
  <c r="S15" i="1"/>
  <c r="B16" i="1"/>
  <c r="F16" i="1"/>
  <c r="J16" i="1"/>
  <c r="N16" i="1"/>
  <c r="R16" i="1"/>
  <c r="V16" i="1"/>
  <c r="E17" i="1"/>
  <c r="I17" i="1"/>
  <c r="M17" i="1"/>
  <c r="Q17" i="1"/>
  <c r="U17" i="1"/>
  <c r="D18" i="1"/>
  <c r="H18" i="1"/>
  <c r="L18" i="1"/>
  <c r="P18" i="1"/>
  <c r="T18" i="1"/>
  <c r="C19" i="1"/>
  <c r="G19" i="1"/>
  <c r="K19" i="1"/>
  <c r="O19" i="1"/>
  <c r="S19" i="1"/>
  <c r="B20" i="1"/>
  <c r="F20" i="1"/>
  <c r="J20" i="1"/>
  <c r="N20" i="1"/>
  <c r="R20" i="1"/>
  <c r="V20" i="1"/>
  <c r="E21" i="1"/>
  <c r="I21" i="1"/>
  <c r="M21" i="1"/>
  <c r="Q21" i="1"/>
  <c r="U21" i="1"/>
  <c r="D22" i="1"/>
  <c r="H22" i="1"/>
  <c r="L22" i="1"/>
  <c r="P22" i="1"/>
  <c r="T22" i="1"/>
  <c r="B13" i="1"/>
  <c r="F13" i="1"/>
  <c r="J13" i="1"/>
  <c r="N13" i="1"/>
  <c r="R13" i="1"/>
  <c r="V13" i="1"/>
  <c r="E14" i="1"/>
  <c r="I14" i="1"/>
  <c r="M14" i="1"/>
  <c r="Q14" i="1"/>
  <c r="U14" i="1"/>
  <c r="D15" i="1"/>
  <c r="H15" i="1"/>
  <c r="P15" i="1"/>
  <c r="T15" i="1"/>
  <c r="G16" i="1"/>
  <c r="O16" i="1"/>
  <c r="B17" i="1"/>
  <c r="J17" i="1"/>
  <c r="R17" i="1"/>
  <c r="E18" i="1"/>
  <c r="M18" i="1"/>
  <c r="U18" i="1"/>
  <c r="H19" i="1"/>
  <c r="L19" i="1"/>
  <c r="T19" i="1"/>
  <c r="G20" i="1"/>
  <c r="O20" i="1"/>
  <c r="B21" i="1"/>
  <c r="J21" i="1"/>
  <c r="R21" i="1"/>
  <c r="E22" i="1"/>
  <c r="M22" i="1"/>
  <c r="U22" i="1"/>
  <c r="G13" i="1"/>
  <c r="K13" i="1"/>
  <c r="S13" i="1"/>
  <c r="F14" i="1"/>
  <c r="N14" i="1"/>
  <c r="V14" i="1"/>
  <c r="I15" i="1"/>
  <c r="L16" i="1"/>
  <c r="C17" i="1"/>
  <c r="K17" i="1"/>
  <c r="O17" i="1"/>
  <c r="B18" i="1"/>
  <c r="J18" i="1"/>
  <c r="R18" i="1"/>
  <c r="V18" i="1"/>
  <c r="M19" i="1"/>
  <c r="U19" i="1"/>
  <c r="H20" i="1"/>
  <c r="P20" i="1"/>
  <c r="C21" i="1"/>
  <c r="K21" i="1"/>
  <c r="O21" i="1"/>
  <c r="B22" i="1"/>
  <c r="N22" i="1"/>
  <c r="V22" i="1"/>
  <c r="C2" i="1"/>
  <c r="G2" i="1"/>
  <c r="K2" i="1"/>
  <c r="O2" i="1"/>
  <c r="S2" i="1"/>
  <c r="E3" i="1"/>
  <c r="I3" i="1"/>
  <c r="M3" i="1"/>
  <c r="Q3" i="1"/>
  <c r="U3" i="1"/>
  <c r="C4" i="1"/>
  <c r="G4" i="1"/>
  <c r="K4" i="1"/>
  <c r="O4" i="1"/>
  <c r="S4" i="1"/>
  <c r="E5" i="1"/>
  <c r="I5" i="1"/>
  <c r="M5" i="1"/>
  <c r="Q5" i="1"/>
  <c r="U5" i="1"/>
  <c r="C6" i="1"/>
  <c r="G6" i="1"/>
  <c r="K6" i="1"/>
  <c r="O6" i="1"/>
  <c r="S6" i="1"/>
  <c r="E7" i="1"/>
  <c r="I7" i="1"/>
  <c r="M7" i="1"/>
  <c r="Q7" i="1"/>
  <c r="U7" i="1"/>
  <c r="C8" i="1"/>
  <c r="G8" i="1"/>
  <c r="K8" i="1"/>
  <c r="O8" i="1"/>
  <c r="S8" i="1"/>
  <c r="E9" i="1"/>
  <c r="I9" i="1"/>
  <c r="M9" i="1"/>
  <c r="Q9" i="1"/>
  <c r="U9" i="1"/>
  <c r="C10" i="1"/>
  <c r="G10" i="1"/>
  <c r="K10" i="1"/>
  <c r="O10" i="1"/>
  <c r="S10" i="1"/>
  <c r="E11" i="1"/>
  <c r="I11" i="1"/>
  <c r="M11" i="1"/>
  <c r="Q11" i="1"/>
  <c r="U11" i="1"/>
  <c r="C12" i="1"/>
  <c r="G12" i="1"/>
  <c r="K12" i="1"/>
  <c r="O12" i="1"/>
  <c r="S12" i="1"/>
  <c r="P12" i="1"/>
  <c r="U12" i="1"/>
  <c r="N2" i="1"/>
  <c r="L3" i="1"/>
  <c r="N4" i="1"/>
  <c r="D5" i="1"/>
  <c r="P5" i="1"/>
  <c r="F6" i="1"/>
  <c r="R6" i="1"/>
  <c r="H7" i="1"/>
  <c r="T7" i="1"/>
  <c r="J8" i="1"/>
  <c r="V8" i="1"/>
  <c r="P9" i="1"/>
  <c r="N10" i="1"/>
  <c r="D11" i="1"/>
  <c r="P11" i="1"/>
  <c r="F12" i="1"/>
  <c r="R12" i="1"/>
  <c r="D2" i="1"/>
  <c r="H2" i="1"/>
  <c r="L2" i="1"/>
  <c r="P2" i="1"/>
  <c r="T2" i="1"/>
  <c r="F3" i="1"/>
  <c r="J3" i="1"/>
  <c r="N3" i="1"/>
  <c r="R3" i="1"/>
  <c r="V3" i="1"/>
  <c r="D4" i="1"/>
  <c r="H4" i="1"/>
  <c r="L4" i="1"/>
  <c r="P4" i="1"/>
  <c r="T4" i="1"/>
  <c r="F5" i="1"/>
  <c r="J5" i="1"/>
  <c r="N5" i="1"/>
  <c r="R5" i="1"/>
  <c r="V5" i="1"/>
  <c r="D6" i="1"/>
  <c r="H6" i="1"/>
  <c r="L6" i="1"/>
  <c r="P6" i="1"/>
  <c r="T6" i="1"/>
  <c r="F7" i="1"/>
  <c r="J7" i="1"/>
  <c r="N7" i="1"/>
  <c r="R7" i="1"/>
  <c r="V7" i="1"/>
  <c r="D8" i="1"/>
  <c r="H8" i="1"/>
  <c r="L8" i="1"/>
  <c r="P8" i="1"/>
  <c r="T8" i="1"/>
  <c r="F9" i="1"/>
  <c r="J9" i="1"/>
  <c r="N9" i="1"/>
  <c r="R9" i="1"/>
  <c r="V9" i="1"/>
  <c r="D10" i="1"/>
  <c r="H10" i="1"/>
  <c r="L10" i="1"/>
  <c r="P10" i="1"/>
  <c r="T10" i="1"/>
  <c r="F11" i="1"/>
  <c r="J11" i="1"/>
  <c r="N11" i="1"/>
  <c r="R11" i="1"/>
  <c r="V11" i="1"/>
  <c r="D12" i="1"/>
  <c r="H12" i="1"/>
  <c r="L12" i="1"/>
  <c r="T12" i="1"/>
  <c r="Q12" i="1"/>
  <c r="J2" i="1"/>
  <c r="R2" i="1"/>
  <c r="D3" i="1"/>
  <c r="P3" i="1"/>
  <c r="F4" i="1"/>
  <c r="R4" i="1"/>
  <c r="H5" i="1"/>
  <c r="T5" i="1"/>
  <c r="J6" i="1"/>
  <c r="V6" i="1"/>
  <c r="L7" i="1"/>
  <c r="N8" i="1"/>
  <c r="D9" i="1"/>
  <c r="H9" i="1"/>
  <c r="T9" i="1"/>
  <c r="J10" i="1"/>
  <c r="V10" i="1"/>
  <c r="L11" i="1"/>
  <c r="J12" i="1"/>
  <c r="V12" i="1"/>
  <c r="E2" i="1"/>
  <c r="I2" i="1"/>
  <c r="M2" i="1"/>
  <c r="Q2" i="1"/>
  <c r="U2" i="1"/>
  <c r="C3" i="1"/>
  <c r="G3" i="1"/>
  <c r="K3" i="1"/>
  <c r="O3" i="1"/>
  <c r="S3" i="1"/>
  <c r="E4" i="1"/>
  <c r="I4" i="1"/>
  <c r="M4" i="1"/>
  <c r="Q4" i="1"/>
  <c r="U4" i="1"/>
  <c r="C5" i="1"/>
  <c r="G5" i="1"/>
  <c r="K5" i="1"/>
  <c r="O5" i="1"/>
  <c r="S5" i="1"/>
  <c r="E6" i="1"/>
  <c r="I6" i="1"/>
  <c r="M6" i="1"/>
  <c r="Q6" i="1"/>
  <c r="U6" i="1"/>
  <c r="C7" i="1"/>
  <c r="G7" i="1"/>
  <c r="K7" i="1"/>
  <c r="O7" i="1"/>
  <c r="S7" i="1"/>
  <c r="E8" i="1"/>
  <c r="I8" i="1"/>
  <c r="M8" i="1"/>
  <c r="Q8" i="1"/>
  <c r="U8" i="1"/>
  <c r="C9" i="1"/>
  <c r="G9" i="1"/>
  <c r="K9" i="1"/>
  <c r="O9" i="1"/>
  <c r="S9" i="1"/>
  <c r="E10" i="1"/>
  <c r="I10" i="1"/>
  <c r="M10" i="1"/>
  <c r="Q10" i="1"/>
  <c r="U10" i="1"/>
  <c r="C11" i="1"/>
  <c r="G11" i="1"/>
  <c r="K11" i="1"/>
  <c r="O11" i="1"/>
  <c r="S11" i="1"/>
  <c r="E12" i="1"/>
  <c r="I12" i="1"/>
  <c r="M12" i="1"/>
  <c r="F2" i="1"/>
  <c r="V2" i="1"/>
  <c r="H3" i="1"/>
  <c r="T3" i="1"/>
  <c r="J4" i="1"/>
  <c r="V4" i="1"/>
  <c r="L5" i="1"/>
  <c r="N6" i="1"/>
  <c r="D7" i="1"/>
  <c r="P7" i="1"/>
  <c r="F8" i="1"/>
  <c r="R8" i="1"/>
  <c r="L9" i="1"/>
  <c r="F10" i="1"/>
  <c r="R10" i="1"/>
  <c r="H11" i="1"/>
  <c r="T11" i="1"/>
  <c r="N12" i="1"/>
  <c r="B3" i="1"/>
  <c r="B7" i="1"/>
  <c r="B11" i="1"/>
  <c r="B12" i="1"/>
  <c r="B4" i="1"/>
  <c r="B8" i="1"/>
  <c r="B5" i="1"/>
  <c r="B9" i="1"/>
  <c r="B6" i="1"/>
  <c r="B10" i="1"/>
  <c r="B2" i="1"/>
  <c r="N5" i="2" l="1"/>
  <c r="R4" i="2"/>
  <c r="P5" i="2" s="1"/>
  <c r="S5" i="2" s="1"/>
  <c r="B19" i="2"/>
  <c r="B20" i="2" s="1"/>
  <c r="C20" i="2" s="1"/>
  <c r="B21" i="2"/>
  <c r="D5" i="2"/>
  <c r="G5" i="2" s="1"/>
  <c r="B5" i="2"/>
  <c r="E5" i="2" s="1"/>
  <c r="Q5" i="2" l="1"/>
  <c r="O5" i="2"/>
  <c r="C19" i="2"/>
  <c r="B22" i="2"/>
  <c r="C21" i="2"/>
  <c r="C5" i="2"/>
  <c r="D6" i="2" s="1"/>
  <c r="N6" i="2" l="1"/>
  <c r="R5" i="2"/>
  <c r="P6" i="2" s="1"/>
  <c r="S6" i="2" s="1"/>
  <c r="B23" i="2"/>
  <c r="C22" i="2"/>
  <c r="B6" i="2"/>
  <c r="G6" i="2"/>
  <c r="F5" i="2"/>
  <c r="O6" i="2" l="1"/>
  <c r="Q6" i="2"/>
  <c r="B24" i="2"/>
  <c r="C23" i="2"/>
  <c r="E6" i="2"/>
  <c r="C6" i="2"/>
  <c r="D7" i="2" s="1"/>
  <c r="R6" i="2" l="1"/>
  <c r="P7" i="2" s="1"/>
  <c r="S7" i="2" s="1"/>
  <c r="N7" i="2"/>
  <c r="B25" i="2"/>
  <c r="C24" i="2"/>
  <c r="F6" i="2"/>
  <c r="G7" i="2"/>
  <c r="B7" i="2"/>
  <c r="Q7" i="2" l="1"/>
  <c r="O7" i="2"/>
  <c r="B26" i="2"/>
  <c r="C25" i="2"/>
  <c r="E7" i="2"/>
  <c r="C7" i="2"/>
  <c r="D8" i="2" s="1"/>
  <c r="N8" i="2" l="1"/>
  <c r="R7" i="2"/>
  <c r="P8" i="2" s="1"/>
  <c r="S8" i="2" s="1"/>
  <c r="B27" i="2"/>
  <c r="C27" i="2" s="1"/>
  <c r="C26" i="2"/>
  <c r="B8" i="2"/>
  <c r="F7" i="2"/>
  <c r="G8" i="2"/>
  <c r="O8" i="2" l="1"/>
  <c r="Q8" i="2"/>
  <c r="E8" i="2"/>
  <c r="C8" i="2"/>
  <c r="D9" i="2" s="1"/>
  <c r="R8" i="2" l="1"/>
  <c r="P9" i="2" s="1"/>
  <c r="S9" i="2" s="1"/>
  <c r="N9" i="2"/>
  <c r="B9" i="2"/>
  <c r="F8" i="2"/>
  <c r="G9" i="2"/>
  <c r="Q9" i="2" l="1"/>
  <c r="O9" i="2"/>
  <c r="E9" i="2"/>
  <c r="C9" i="2"/>
  <c r="D10" i="2" s="1"/>
  <c r="N10" i="2" l="1"/>
  <c r="R9" i="2"/>
  <c r="P10" i="2" s="1"/>
  <c r="S10" i="2" s="1"/>
  <c r="G10" i="2"/>
  <c r="B10" i="2"/>
  <c r="F9" i="2"/>
  <c r="O10" i="2" l="1"/>
  <c r="Q10" i="2"/>
  <c r="E10" i="2"/>
  <c r="C10" i="2"/>
  <c r="D11" i="2" s="1"/>
  <c r="R10" i="2" l="1"/>
  <c r="P11" i="2" s="1"/>
  <c r="S11" i="2" s="1"/>
  <c r="N11" i="2"/>
  <c r="G11" i="2"/>
  <c r="B11" i="2"/>
  <c r="F10" i="2"/>
  <c r="Q11" i="2" l="1"/>
  <c r="O11" i="2"/>
  <c r="E11" i="2"/>
  <c r="C11" i="2"/>
  <c r="D12" i="2" s="1"/>
  <c r="N12" i="2" l="1"/>
  <c r="R11" i="2"/>
  <c r="P12" i="2" s="1"/>
  <c r="S12" i="2" s="1"/>
  <c r="G12" i="2"/>
  <c r="B12" i="2"/>
  <c r="F11" i="2"/>
  <c r="O12" i="2" l="1"/>
  <c r="Q12" i="2"/>
  <c r="E12" i="2"/>
  <c r="C12" i="2"/>
  <c r="D13" i="2" s="1"/>
  <c r="R12" i="2" l="1"/>
  <c r="P13" i="2" s="1"/>
  <c r="S13" i="2" s="1"/>
  <c r="N13" i="2"/>
  <c r="F12" i="2"/>
  <c r="G13" i="2"/>
  <c r="B13" i="2"/>
  <c r="Q13" i="2" l="1"/>
  <c r="O13" i="2"/>
  <c r="E13" i="2"/>
  <c r="C13" i="2"/>
  <c r="D14" i="2" s="1"/>
  <c r="N14" i="2" l="1"/>
  <c r="R13" i="2"/>
  <c r="P14" i="2" s="1"/>
  <c r="S14" i="2" s="1"/>
  <c r="G14" i="2"/>
  <c r="B14" i="2"/>
  <c r="F13" i="2"/>
  <c r="O14" i="2" l="1"/>
  <c r="R14" i="2" s="1"/>
  <c r="Q14" i="2"/>
  <c r="E14" i="2"/>
  <c r="C14" i="2"/>
  <c r="F14" i="2" s="1"/>
</calcChain>
</file>

<file path=xl/sharedStrings.xml><?xml version="1.0" encoding="utf-8"?>
<sst xmlns="http://schemas.openxmlformats.org/spreadsheetml/2006/main" count="17" uniqueCount="9">
  <si>
    <t>уравнение cosx - x^2</t>
  </si>
  <si>
    <t>a</t>
  </si>
  <si>
    <t>b</t>
  </si>
  <si>
    <t>x</t>
  </si>
  <si>
    <t>f(a)</t>
  </si>
  <si>
    <t>f(x)</t>
  </si>
  <si>
    <t>f(b)</t>
  </si>
  <si>
    <t>Корень в ~-0.82</t>
  </si>
  <si>
    <t>Корень в ~0.82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</si>
</sst>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Cambria Math" panose="02040503050406030204" pitchFamily="18" charset="0"/>
                <a:ea typeface="Cambria Math" panose="02040503050406030204" pitchFamily="18" charset="0"/>
              </a:rPr>
              <a:t>z = f(x,y)</a:t>
            </a:r>
            <a:endParaRPr lang="ru-RU">
              <a:latin typeface="Cambria Math" panose="02040503050406030204" pitchFamily="18" charset="0"/>
              <a:ea typeface="Cambria Math" panose="02040503050406030204" pitchFamily="18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'задание 1'!$A$2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tint val="37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1'!$B$2:$V$2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9-4C28-96F0-F0C68E63F21E}"/>
            </c:ext>
          </c:extLst>
        </c:ser>
        <c:ser>
          <c:idx val="1"/>
          <c:order val="1"/>
          <c:tx>
            <c:strRef>
              <c:f>'задание 1'!$A$3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5">
                <a:tint val="43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1'!$B$3:$V$3</c:f>
              <c:numCache>
                <c:formatCode>General</c:formatCode>
                <c:ptCount val="21"/>
                <c:pt idx="0">
                  <c:v>1</c:v>
                </c:pt>
                <c:pt idx="1">
                  <c:v>0.99993749804675292</c:v>
                </c:pt>
                <c:pt idx="2">
                  <c:v>0.99949987493746095</c:v>
                </c:pt>
                <c:pt idx="3">
                  <c:v>0.99831107376408479</c:v>
                </c:pt>
                <c:pt idx="4">
                  <c:v>0.9959919678390986</c:v>
                </c:pt>
                <c:pt idx="5">
                  <c:v>0.99215674164922152</c:v>
                </c:pt>
                <c:pt idx="6">
                  <c:v>0.98640762365261547</c:v>
                </c:pt>
                <c:pt idx="7">
                  <c:v>0.97832765472514371</c:v>
                </c:pt>
                <c:pt idx="8">
                  <c:v>0.96747092979582594</c:v>
                </c:pt>
                <c:pt idx="9">
                  <c:v>0.95334935883966476</c:v>
                </c:pt>
                <c:pt idx="10">
                  <c:v>0.93541434669348533</c:v>
                </c:pt>
                <c:pt idx="11">
                  <c:v>0.91303066761199203</c:v>
                </c:pt>
                <c:pt idx="12">
                  <c:v>0.88543774484714621</c:v>
                </c:pt>
                <c:pt idx="13">
                  <c:v>0.85168949741088151</c:v>
                </c:pt>
                <c:pt idx="14">
                  <c:v>0.81055536516637783</c:v>
                </c:pt>
                <c:pt idx="15">
                  <c:v>0.76034531628727742</c:v>
                </c:pt>
                <c:pt idx="16">
                  <c:v>0.69856996786291914</c:v>
                </c:pt>
                <c:pt idx="17">
                  <c:v>0.62118837722545972</c:v>
                </c:pt>
                <c:pt idx="18">
                  <c:v>0.52057660339281475</c:v>
                </c:pt>
                <c:pt idx="19">
                  <c:v>0.37765725201563405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39-4C28-96F0-F0C68E63F21E}"/>
            </c:ext>
          </c:extLst>
        </c:ser>
        <c:ser>
          <c:idx val="2"/>
          <c:order val="2"/>
          <c:tx>
            <c:strRef>
              <c:f>'задание 1'!$A$4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tint val="50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1'!$B$4:$V$4</c:f>
              <c:numCache>
                <c:formatCode>General</c:formatCode>
                <c:ptCount val="21"/>
                <c:pt idx="0">
                  <c:v>8</c:v>
                </c:pt>
                <c:pt idx="1">
                  <c:v>7.9994999843740233</c:v>
                </c:pt>
                <c:pt idx="2">
                  <c:v>7.9959989994996876</c:v>
                </c:pt>
                <c:pt idx="3">
                  <c:v>7.9864885901126783</c:v>
                </c:pt>
                <c:pt idx="4">
                  <c:v>7.9679357427127888</c:v>
                </c:pt>
                <c:pt idx="5">
                  <c:v>7.9372539331937721</c:v>
                </c:pt>
                <c:pt idx="6">
                  <c:v>7.8912609892209238</c:v>
                </c:pt>
                <c:pt idx="7">
                  <c:v>7.8266212378011497</c:v>
                </c:pt>
                <c:pt idx="8">
                  <c:v>7.7397674383666075</c:v>
                </c:pt>
                <c:pt idx="9">
                  <c:v>7.6267948707173181</c:v>
                </c:pt>
                <c:pt idx="10">
                  <c:v>7.4833147735478827</c:v>
                </c:pt>
                <c:pt idx="11">
                  <c:v>7.3042453408959362</c:v>
                </c:pt>
                <c:pt idx="12">
                  <c:v>7.0835019587771697</c:v>
                </c:pt>
                <c:pt idx="13">
                  <c:v>6.8135159792870521</c:v>
                </c:pt>
                <c:pt idx="14">
                  <c:v>6.4844429213310226</c:v>
                </c:pt>
                <c:pt idx="15">
                  <c:v>6.0827625302982193</c:v>
                </c:pt>
                <c:pt idx="16">
                  <c:v>5.5885597429033531</c:v>
                </c:pt>
                <c:pt idx="17">
                  <c:v>4.9695070178036778</c:v>
                </c:pt>
                <c:pt idx="18">
                  <c:v>4.164612827142518</c:v>
                </c:pt>
                <c:pt idx="19">
                  <c:v>3.0212580161250724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39-4C28-96F0-F0C68E63F21E}"/>
            </c:ext>
          </c:extLst>
        </c:ser>
        <c:ser>
          <c:idx val="3"/>
          <c:order val="3"/>
          <c:tx>
            <c:strRef>
              <c:f>'задание 1'!$A$5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5">
                <a:tint val="56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1'!$B$5:$V$5</c:f>
              <c:numCache>
                <c:formatCode>General</c:formatCode>
                <c:ptCount val="21"/>
                <c:pt idx="0">
                  <c:v>27</c:v>
                </c:pt>
                <c:pt idx="1">
                  <c:v>26.998312447262329</c:v>
                </c:pt>
                <c:pt idx="2">
                  <c:v>26.986496623311446</c:v>
                </c:pt>
                <c:pt idx="3">
                  <c:v>26.954398991630288</c:v>
                </c:pt>
                <c:pt idx="4">
                  <c:v>26.891783131655661</c:v>
                </c:pt>
                <c:pt idx="5">
                  <c:v>26.78823202452898</c:v>
                </c:pt>
                <c:pt idx="6">
                  <c:v>26.633005838620619</c:v>
                </c:pt>
                <c:pt idx="7">
                  <c:v>26.414846677578879</c:v>
                </c:pt>
                <c:pt idx="8">
                  <c:v>26.121715104487301</c:v>
                </c:pt>
                <c:pt idx="9">
                  <c:v>25.74043268867095</c:v>
                </c:pt>
                <c:pt idx="10">
                  <c:v>25.256187360724105</c:v>
                </c:pt>
                <c:pt idx="11">
                  <c:v>24.651828025523784</c:v>
                </c:pt>
                <c:pt idx="12">
                  <c:v>23.906819110872949</c:v>
                </c:pt>
                <c:pt idx="13">
                  <c:v>22.995616430093801</c:v>
                </c:pt>
                <c:pt idx="14">
                  <c:v>21.884994859492203</c:v>
                </c:pt>
                <c:pt idx="15">
                  <c:v>20.52932353975649</c:v>
                </c:pt>
                <c:pt idx="16">
                  <c:v>18.861389132298818</c:v>
                </c:pt>
                <c:pt idx="17">
                  <c:v>16.772086185087414</c:v>
                </c:pt>
                <c:pt idx="18">
                  <c:v>14.055568291605999</c:v>
                </c:pt>
                <c:pt idx="19">
                  <c:v>10.19674580442212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39-4C28-96F0-F0C68E63F21E}"/>
            </c:ext>
          </c:extLst>
        </c:ser>
        <c:ser>
          <c:idx val="4"/>
          <c:order val="4"/>
          <c:tx>
            <c:strRef>
              <c:f>'задание 1'!$A$6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5">
                <a:tint val="62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1'!$B$6:$V$6</c:f>
              <c:numCache>
                <c:formatCode>General</c:formatCode>
                <c:ptCount val="21"/>
                <c:pt idx="0">
                  <c:v>64</c:v>
                </c:pt>
                <c:pt idx="1">
                  <c:v>63.995999874992187</c:v>
                </c:pt>
                <c:pt idx="2">
                  <c:v>63.967991995997501</c:v>
                </c:pt>
                <c:pt idx="3">
                  <c:v>63.891908720901426</c:v>
                </c:pt>
                <c:pt idx="4">
                  <c:v>63.743485941702311</c:v>
                </c:pt>
                <c:pt idx="5">
                  <c:v>63.498031465550177</c:v>
                </c:pt>
                <c:pt idx="6">
                  <c:v>63.13008791376739</c:v>
                </c:pt>
                <c:pt idx="7">
                  <c:v>62.612969902409198</c:v>
                </c:pt>
                <c:pt idx="8">
                  <c:v>61.91813950693286</c:v>
                </c:pt>
                <c:pt idx="9">
                  <c:v>61.014358965738545</c:v>
                </c:pt>
                <c:pt idx="10">
                  <c:v>59.866518188383061</c:v>
                </c:pt>
                <c:pt idx="11">
                  <c:v>58.43396272716749</c:v>
                </c:pt>
                <c:pt idx="12">
                  <c:v>56.668015670217358</c:v>
                </c:pt>
                <c:pt idx="13">
                  <c:v>54.508127834296417</c:v>
                </c:pt>
                <c:pt idx="14">
                  <c:v>51.875543370648181</c:v>
                </c:pt>
                <c:pt idx="15">
                  <c:v>48.662100242385755</c:v>
                </c:pt>
                <c:pt idx="16">
                  <c:v>44.708477943226825</c:v>
                </c:pt>
                <c:pt idx="17">
                  <c:v>39.756056142429422</c:v>
                </c:pt>
                <c:pt idx="18">
                  <c:v>33.316902617140144</c:v>
                </c:pt>
                <c:pt idx="19">
                  <c:v>24.170064129000579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39-4C28-96F0-F0C68E63F21E}"/>
            </c:ext>
          </c:extLst>
        </c:ser>
        <c:ser>
          <c:idx val="5"/>
          <c:order val="5"/>
          <c:tx>
            <c:strRef>
              <c:f>'задание 1'!$A$7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>
                <a:tint val="69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1'!$B$7:$V$7</c:f>
              <c:numCache>
                <c:formatCode>General</c:formatCode>
                <c:ptCount val="21"/>
                <c:pt idx="0">
                  <c:v>125</c:v>
                </c:pt>
                <c:pt idx="1">
                  <c:v>124.99218725584412</c:v>
                </c:pt>
                <c:pt idx="2">
                  <c:v>124.93748436718262</c:v>
                </c:pt>
                <c:pt idx="3">
                  <c:v>124.7888842205106</c:v>
                </c:pt>
                <c:pt idx="4">
                  <c:v>124.49899597988733</c:v>
                </c:pt>
                <c:pt idx="5">
                  <c:v>124.01959270615269</c:v>
                </c:pt>
                <c:pt idx="6">
                  <c:v>123.30095295657694</c:v>
                </c:pt>
                <c:pt idx="7">
                  <c:v>122.29095684064296</c:v>
                </c:pt>
                <c:pt idx="8">
                  <c:v>120.93386622447824</c:v>
                </c:pt>
                <c:pt idx="9">
                  <c:v>119.1686698549581</c:v>
                </c:pt>
                <c:pt idx="10">
                  <c:v>116.92679333668566</c:v>
                </c:pt>
                <c:pt idx="11">
                  <c:v>114.12883345149901</c:v>
                </c:pt>
                <c:pt idx="12">
                  <c:v>110.67971810589327</c:v>
                </c:pt>
                <c:pt idx="13">
                  <c:v>106.46118717636018</c:v>
                </c:pt>
                <c:pt idx="14">
                  <c:v>101.31942064579722</c:v>
                </c:pt>
                <c:pt idx="15">
                  <c:v>95.043164535909682</c:v>
                </c:pt>
                <c:pt idx="16">
                  <c:v>87.321245982864895</c:v>
                </c:pt>
                <c:pt idx="17">
                  <c:v>77.648547153182463</c:v>
                </c:pt>
                <c:pt idx="18">
                  <c:v>65.07207542410184</c:v>
                </c:pt>
                <c:pt idx="19">
                  <c:v>47.207156501954259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39-4C28-96F0-F0C68E63F21E}"/>
            </c:ext>
          </c:extLst>
        </c:ser>
        <c:ser>
          <c:idx val="6"/>
          <c:order val="6"/>
          <c:tx>
            <c:strRef>
              <c:f>'задание 1'!$A$8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5">
                <a:tint val="75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1'!$B$8:$V$8</c:f>
              <c:numCache>
                <c:formatCode>General</c:formatCode>
                <c:ptCount val="21"/>
                <c:pt idx="0">
                  <c:v>216</c:v>
                </c:pt>
                <c:pt idx="1">
                  <c:v>215.98649957809863</c:v>
                </c:pt>
                <c:pt idx="2">
                  <c:v>215.89197298649157</c:v>
                </c:pt>
                <c:pt idx="3">
                  <c:v>215.63519193304231</c:v>
                </c:pt>
                <c:pt idx="4">
                  <c:v>215.13426505324529</c:v>
                </c:pt>
                <c:pt idx="5">
                  <c:v>214.30585619623184</c:v>
                </c:pt>
                <c:pt idx="6">
                  <c:v>213.06404670896495</c:v>
                </c:pt>
                <c:pt idx="7">
                  <c:v>211.31877342063103</c:v>
                </c:pt>
                <c:pt idx="8">
                  <c:v>208.9737208358984</c:v>
                </c:pt>
                <c:pt idx="9">
                  <c:v>205.9234615093676</c:v>
                </c:pt>
                <c:pt idx="10">
                  <c:v>202.04949888579284</c:v>
                </c:pt>
                <c:pt idx="11">
                  <c:v>197.21462420419027</c:v>
                </c:pt>
                <c:pt idx="12">
                  <c:v>191.25455288698359</c:v>
                </c:pt>
                <c:pt idx="13">
                  <c:v>183.96493144075041</c:v>
                </c:pt>
                <c:pt idx="14">
                  <c:v>175.07995887593762</c:v>
                </c:pt>
                <c:pt idx="15">
                  <c:v>164.23458831805192</c:v>
                </c:pt>
                <c:pt idx="16">
                  <c:v>150.89111305839054</c:v>
                </c:pt>
                <c:pt idx="17">
                  <c:v>134.17668948069931</c:v>
                </c:pt>
                <c:pt idx="18">
                  <c:v>112.44454633284799</c:v>
                </c:pt>
                <c:pt idx="19">
                  <c:v>81.57396643537696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39-4C28-96F0-F0C68E63F21E}"/>
            </c:ext>
          </c:extLst>
        </c:ser>
        <c:ser>
          <c:idx val="7"/>
          <c:order val="7"/>
          <c:tx>
            <c:strRef>
              <c:f>'задание 1'!$A$9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5">
                <a:tint val="81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1'!$B$9:$V$9</c:f>
              <c:numCache>
                <c:formatCode>General</c:formatCode>
                <c:ptCount val="21"/>
                <c:pt idx="0">
                  <c:v>343</c:v>
                </c:pt>
                <c:pt idx="1">
                  <c:v>342.97856183003626</c:v>
                </c:pt>
                <c:pt idx="2">
                  <c:v>342.82845710354911</c:v>
                </c:pt>
                <c:pt idx="3">
                  <c:v>342.42069830108107</c:v>
                </c:pt>
                <c:pt idx="4">
                  <c:v>341.62524496881082</c:v>
                </c:pt>
                <c:pt idx="5">
                  <c:v>340.30976238568297</c:v>
                </c:pt>
                <c:pt idx="6">
                  <c:v>338.33781491284708</c:v>
                </c:pt>
                <c:pt idx="7">
                  <c:v>335.56638557072432</c:v>
                </c:pt>
                <c:pt idx="8">
                  <c:v>331.84252891996829</c:v>
                </c:pt>
                <c:pt idx="9">
                  <c:v>326.99883008200499</c:v>
                </c:pt>
                <c:pt idx="10">
                  <c:v>320.84712091586545</c:v>
                </c:pt>
                <c:pt idx="11">
                  <c:v>313.16951899091328</c:v>
                </c:pt>
                <c:pt idx="12">
                  <c:v>303.70514648257114</c:v>
                </c:pt>
                <c:pt idx="13">
                  <c:v>292.12949761193238</c:v>
                </c:pt>
                <c:pt idx="14">
                  <c:v>278.02049025206759</c:v>
                </c:pt>
                <c:pt idx="15">
                  <c:v>260.79844348653614</c:v>
                </c:pt>
                <c:pt idx="16">
                  <c:v>239.60949897698126</c:v>
                </c:pt>
                <c:pt idx="17">
                  <c:v>213.06761338833269</c:v>
                </c:pt>
                <c:pt idx="18">
                  <c:v>178.55777496373545</c:v>
                </c:pt>
                <c:pt idx="19">
                  <c:v>129.53643744136247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39-4C28-96F0-F0C68E63F21E}"/>
            </c:ext>
          </c:extLst>
        </c:ser>
        <c:ser>
          <c:idx val="8"/>
          <c:order val="8"/>
          <c:tx>
            <c:strRef>
              <c:f>'задание 1'!$A$10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5">
                <a:tint val="88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1'!$B$10:$V$10</c:f>
              <c:numCache>
                <c:formatCode>General</c:formatCode>
                <c:ptCount val="21"/>
                <c:pt idx="0">
                  <c:v>512</c:v>
                </c:pt>
                <c:pt idx="1">
                  <c:v>511.96799899993749</c:v>
                </c:pt>
                <c:pt idx="2">
                  <c:v>511.74393596798001</c:v>
                </c:pt>
                <c:pt idx="3">
                  <c:v>511.13526976721141</c:v>
                </c:pt>
                <c:pt idx="4">
                  <c:v>509.94788753361848</c:v>
                </c:pt>
                <c:pt idx="5">
                  <c:v>507.98425172440142</c:v>
                </c:pt>
                <c:pt idx="6">
                  <c:v>505.04070331013912</c:v>
                </c:pt>
                <c:pt idx="7">
                  <c:v>500.90375921927358</c:v>
                </c:pt>
                <c:pt idx="8">
                  <c:v>495.34511605546288</c:v>
                </c:pt>
                <c:pt idx="9">
                  <c:v>488.11487172590836</c:v>
                </c:pt>
                <c:pt idx="10">
                  <c:v>478.93214550706449</c:v>
                </c:pt>
                <c:pt idx="11">
                  <c:v>467.47170181733992</c:v>
                </c:pt>
                <c:pt idx="12">
                  <c:v>453.34412536173886</c:v>
                </c:pt>
                <c:pt idx="13">
                  <c:v>436.06502267437133</c:v>
                </c:pt>
                <c:pt idx="14">
                  <c:v>415.00434696518545</c:v>
                </c:pt>
                <c:pt idx="15">
                  <c:v>389.29680193908604</c:v>
                </c:pt>
                <c:pt idx="16">
                  <c:v>357.6678235458146</c:v>
                </c:pt>
                <c:pt idx="17">
                  <c:v>318.04844913943538</c:v>
                </c:pt>
                <c:pt idx="18">
                  <c:v>266.53522093712115</c:v>
                </c:pt>
                <c:pt idx="19">
                  <c:v>193.36051303200463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39-4C28-96F0-F0C68E63F21E}"/>
            </c:ext>
          </c:extLst>
        </c:ser>
        <c:ser>
          <c:idx val="9"/>
          <c:order val="9"/>
          <c:tx>
            <c:strRef>
              <c:f>'задание 1'!$A$11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chemeClr val="accent5">
                <a:tint val="94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1'!$B$11:$V$11</c:f>
              <c:numCache>
                <c:formatCode>General</c:formatCode>
                <c:ptCount val="21"/>
                <c:pt idx="0">
                  <c:v>729</c:v>
                </c:pt>
                <c:pt idx="1">
                  <c:v>728.95443607608286</c:v>
                </c:pt>
                <c:pt idx="2">
                  <c:v>728.63540882940902</c:v>
                </c:pt>
                <c:pt idx="3">
                  <c:v>727.76877277401786</c:v>
                </c:pt>
                <c:pt idx="4">
                  <c:v>726.07814455470293</c:v>
                </c:pt>
                <c:pt idx="5">
                  <c:v>723.2822646622825</c:v>
                </c:pt>
                <c:pt idx="6">
                  <c:v>719.09115764275668</c:v>
                </c:pt>
                <c:pt idx="7">
                  <c:v>713.20086029462982</c:v>
                </c:pt>
                <c:pt idx="8">
                  <c:v>705.28630782115715</c:v>
                </c:pt>
                <c:pt idx="9">
                  <c:v>694.99168259411556</c:v>
                </c:pt>
                <c:pt idx="10">
                  <c:v>681.91705873955084</c:v>
                </c:pt>
                <c:pt idx="11">
                  <c:v>665.59935668914216</c:v>
                </c:pt>
                <c:pt idx="12">
                  <c:v>645.48411599356962</c:v>
                </c:pt>
                <c:pt idx="13">
                  <c:v>620.88164361253257</c:v>
                </c:pt>
                <c:pt idx="14">
                  <c:v>590.89486120628942</c:v>
                </c:pt>
                <c:pt idx="15">
                  <c:v>554.29173557342529</c:v>
                </c:pt>
                <c:pt idx="16">
                  <c:v>509.25750657206805</c:v>
                </c:pt>
                <c:pt idx="17">
                  <c:v>452.84632699736011</c:v>
                </c:pt>
                <c:pt idx="18">
                  <c:v>379.50034387336194</c:v>
                </c:pt>
                <c:pt idx="19">
                  <c:v>275.31213671939724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39-4C28-96F0-F0C68E63F21E}"/>
            </c:ext>
          </c:extLst>
        </c:ser>
        <c:ser>
          <c:idx val="10"/>
          <c:order val="10"/>
          <c:tx>
            <c:strRef>
              <c:f>'задание 1'!$A$12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1'!$B$12:$V$12</c:f>
              <c:numCache>
                <c:formatCode>General</c:formatCode>
                <c:ptCount val="21"/>
                <c:pt idx="0">
                  <c:v>1000</c:v>
                </c:pt>
                <c:pt idx="1">
                  <c:v>999.93749804675292</c:v>
                </c:pt>
                <c:pt idx="2">
                  <c:v>999.49987493746096</c:v>
                </c:pt>
                <c:pt idx="3">
                  <c:v>998.31107376408477</c:v>
                </c:pt>
                <c:pt idx="4">
                  <c:v>995.99196783909861</c:v>
                </c:pt>
                <c:pt idx="5">
                  <c:v>992.15674164922154</c:v>
                </c:pt>
                <c:pt idx="6">
                  <c:v>986.40762365261548</c:v>
                </c:pt>
                <c:pt idx="7">
                  <c:v>978.3276547251437</c:v>
                </c:pt>
                <c:pt idx="8">
                  <c:v>967.4709297958259</c:v>
                </c:pt>
                <c:pt idx="9">
                  <c:v>953.34935883966477</c:v>
                </c:pt>
                <c:pt idx="10">
                  <c:v>935.4143466934853</c:v>
                </c:pt>
                <c:pt idx="11">
                  <c:v>913.03066761199204</c:v>
                </c:pt>
                <c:pt idx="12">
                  <c:v>885.43774484714618</c:v>
                </c:pt>
                <c:pt idx="13">
                  <c:v>851.68949741088147</c:v>
                </c:pt>
                <c:pt idx="14">
                  <c:v>810.55536516637778</c:v>
                </c:pt>
                <c:pt idx="15">
                  <c:v>760.34531628727746</c:v>
                </c:pt>
                <c:pt idx="16">
                  <c:v>698.56996786291916</c:v>
                </c:pt>
                <c:pt idx="17">
                  <c:v>621.1883772254597</c:v>
                </c:pt>
                <c:pt idx="18">
                  <c:v>520.57660339281472</c:v>
                </c:pt>
                <c:pt idx="19">
                  <c:v>377.65725201563407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39-4C28-96F0-F0C68E63F21E}"/>
            </c:ext>
          </c:extLst>
        </c:ser>
        <c:ser>
          <c:idx val="11"/>
          <c:order val="11"/>
          <c:tx>
            <c:strRef>
              <c:f>'задание 1'!$A$13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5">
                <a:shade val="93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1'!$B$13:$V$13</c:f>
              <c:numCache>
                <c:formatCode>General</c:formatCode>
                <c:ptCount val="21"/>
                <c:pt idx="0">
                  <c:v>1331</c:v>
                </c:pt>
                <c:pt idx="1">
                  <c:v>1330.9168099002281</c:v>
                </c:pt>
                <c:pt idx="2">
                  <c:v>1330.3343335417605</c:v>
                </c:pt>
                <c:pt idx="3">
                  <c:v>1328.7520391799969</c:v>
                </c:pt>
                <c:pt idx="4">
                  <c:v>1325.6653091938401</c:v>
                </c:pt>
                <c:pt idx="5">
                  <c:v>1320.5606231351139</c:v>
                </c:pt>
                <c:pt idx="6">
                  <c:v>1312.9085470816312</c:v>
                </c:pt>
                <c:pt idx="7">
                  <c:v>1302.1541084391663</c:v>
                </c:pt>
                <c:pt idx="8">
                  <c:v>1287.7038075582443</c:v>
                </c:pt>
                <c:pt idx="9">
                  <c:v>1268.9079966155939</c:v>
                </c:pt>
                <c:pt idx="10">
                  <c:v>1245.036495449029</c:v>
                </c:pt>
                <c:pt idx="11">
                  <c:v>1215.2438185915614</c:v>
                </c:pt>
                <c:pt idx="12">
                  <c:v>1178.5176383915516</c:v>
                </c:pt>
                <c:pt idx="13">
                  <c:v>1133.5987210538833</c:v>
                </c:pt>
                <c:pt idx="14">
                  <c:v>1078.8491910364489</c:v>
                </c:pt>
                <c:pt idx="15">
                  <c:v>1012.0196159783662</c:v>
                </c:pt>
                <c:pt idx="16">
                  <c:v>929.79662722554542</c:v>
                </c:pt>
                <c:pt idx="17">
                  <c:v>826.80173008708687</c:v>
                </c:pt>
                <c:pt idx="18">
                  <c:v>692.88745911583646</c:v>
                </c:pt>
                <c:pt idx="19">
                  <c:v>502.66180243280894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39-4C28-96F0-F0C68E63F21E}"/>
            </c:ext>
          </c:extLst>
        </c:ser>
        <c:ser>
          <c:idx val="12"/>
          <c:order val="12"/>
          <c:tx>
            <c:strRef>
              <c:f>'задание 1'!$A$14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5">
                <a:shade val="87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1'!$B$14:$V$14</c:f>
              <c:numCache>
                <c:formatCode>General</c:formatCode>
                <c:ptCount val="21"/>
                <c:pt idx="0">
                  <c:v>1728</c:v>
                </c:pt>
                <c:pt idx="1">
                  <c:v>1727.891996624789</c:v>
                </c:pt>
                <c:pt idx="2">
                  <c:v>1727.1357838919325</c:v>
                </c:pt>
                <c:pt idx="3">
                  <c:v>1725.0815354643385</c:v>
                </c:pt>
                <c:pt idx="4">
                  <c:v>1721.0741204259623</c:v>
                </c:pt>
                <c:pt idx="5">
                  <c:v>1714.4468495698547</c:v>
                </c:pt>
                <c:pt idx="6">
                  <c:v>1704.5123736717196</c:v>
                </c:pt>
                <c:pt idx="7">
                  <c:v>1690.5501873650483</c:v>
                </c:pt>
                <c:pt idx="8">
                  <c:v>1671.7897666871872</c:v>
                </c:pt>
                <c:pt idx="9">
                  <c:v>1647.3876920749408</c:v>
                </c:pt>
                <c:pt idx="10">
                  <c:v>1616.3959910863427</c:v>
                </c:pt>
                <c:pt idx="11">
                  <c:v>1577.7169936335222</c:v>
                </c:pt>
                <c:pt idx="12">
                  <c:v>1530.0364230958687</c:v>
                </c:pt>
                <c:pt idx="13">
                  <c:v>1471.7194515260032</c:v>
                </c:pt>
                <c:pt idx="14">
                  <c:v>1400.639671007501</c:v>
                </c:pt>
                <c:pt idx="15">
                  <c:v>1313.8767065444154</c:v>
                </c:pt>
                <c:pt idx="16">
                  <c:v>1207.1289044671244</c:v>
                </c:pt>
                <c:pt idx="17">
                  <c:v>1073.4135158455945</c:v>
                </c:pt>
                <c:pt idx="18">
                  <c:v>899.55637066278393</c:v>
                </c:pt>
                <c:pt idx="19">
                  <c:v>652.59173148301568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C39-4C28-96F0-F0C68E63F21E}"/>
            </c:ext>
          </c:extLst>
        </c:ser>
        <c:ser>
          <c:idx val="13"/>
          <c:order val="13"/>
          <c:tx>
            <c:strRef>
              <c:f>'задание 1'!$A$15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chemeClr val="accent5">
                <a:shade val="80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1'!$B$15:$V$15</c:f>
              <c:numCache>
                <c:formatCode>General</c:formatCode>
                <c:ptCount val="21"/>
                <c:pt idx="0">
                  <c:v>2197</c:v>
                </c:pt>
                <c:pt idx="1">
                  <c:v>2196.8626832087161</c:v>
                </c:pt>
                <c:pt idx="2">
                  <c:v>2195.9012252376019</c:v>
                </c:pt>
                <c:pt idx="3">
                  <c:v>2193.2894290596942</c:v>
                </c:pt>
                <c:pt idx="4">
                  <c:v>2188.1943533424997</c:v>
                </c:pt>
                <c:pt idx="5">
                  <c:v>2179.7683614033399</c:v>
                </c:pt>
                <c:pt idx="6">
                  <c:v>2167.1375491647964</c:v>
                </c:pt>
                <c:pt idx="7">
                  <c:v>2149.3858574311407</c:v>
                </c:pt>
                <c:pt idx="8">
                  <c:v>2125.5336327614295</c:v>
                </c:pt>
                <c:pt idx="9">
                  <c:v>2094.5085413707434</c:v>
                </c:pt>
                <c:pt idx="10">
                  <c:v>2055.1053196855873</c:v>
                </c:pt>
                <c:pt idx="11">
                  <c:v>2005.9283767435466</c:v>
                </c:pt>
                <c:pt idx="12">
                  <c:v>1945.3067254291802</c:v>
                </c:pt>
                <c:pt idx="13">
                  <c:v>1871.1618258117066</c:v>
                </c:pt>
                <c:pt idx="14">
                  <c:v>1780.7901372705321</c:v>
                </c:pt>
                <c:pt idx="15">
                  <c:v>1670.4786598831486</c:v>
                </c:pt>
                <c:pt idx="16">
                  <c:v>1534.7582193948333</c:v>
                </c:pt>
                <c:pt idx="17">
                  <c:v>1364.7508647643349</c:v>
                </c:pt>
                <c:pt idx="18">
                  <c:v>1143.7067976540141</c:v>
                </c:pt>
                <c:pt idx="19">
                  <c:v>829.712982678348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C39-4C28-96F0-F0C68E63F21E}"/>
            </c:ext>
          </c:extLst>
        </c:ser>
        <c:ser>
          <c:idx val="14"/>
          <c:order val="14"/>
          <c:tx>
            <c:strRef>
              <c:f>'задание 1'!$A$16</c:f>
              <c:strCache>
                <c:ptCount val="1"/>
                <c:pt idx="0">
                  <c:v>14</c:v>
                </c:pt>
              </c:strCache>
            </c:strRef>
          </c:tx>
          <c:spPr>
            <a:solidFill>
              <a:schemeClr val="accent5">
                <a:shade val="74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1'!$B$16:$V$16</c:f>
              <c:numCache>
                <c:formatCode>General</c:formatCode>
                <c:ptCount val="21"/>
                <c:pt idx="0">
                  <c:v>2744</c:v>
                </c:pt>
                <c:pt idx="1">
                  <c:v>2743.82849464029</c:v>
                </c:pt>
                <c:pt idx="2">
                  <c:v>2742.6276568283929</c:v>
                </c:pt>
                <c:pt idx="3">
                  <c:v>2739.3655864086486</c:v>
                </c:pt>
                <c:pt idx="4">
                  <c:v>2733.0019597504865</c:v>
                </c:pt>
                <c:pt idx="5">
                  <c:v>2722.4780990854638</c:v>
                </c:pt>
                <c:pt idx="6">
                  <c:v>2706.7025193027766</c:v>
                </c:pt>
                <c:pt idx="7">
                  <c:v>2684.5310845657946</c:v>
                </c:pt>
                <c:pt idx="8">
                  <c:v>2654.7402313597463</c:v>
                </c:pt>
                <c:pt idx="9">
                  <c:v>2615.9906406560399</c:v>
                </c:pt>
                <c:pt idx="10">
                  <c:v>2566.7769673269236</c:v>
                </c:pt>
                <c:pt idx="11">
                  <c:v>2505.3561519273062</c:v>
                </c:pt>
                <c:pt idx="12">
                  <c:v>2429.6411718605691</c:v>
                </c:pt>
                <c:pt idx="13">
                  <c:v>2337.035980895459</c:v>
                </c:pt>
                <c:pt idx="14">
                  <c:v>2224.1639220165407</c:v>
                </c:pt>
                <c:pt idx="15">
                  <c:v>2086.3875478922891</c:v>
                </c:pt>
                <c:pt idx="16">
                  <c:v>1916.8759918158501</c:v>
                </c:pt>
                <c:pt idx="17">
                  <c:v>1704.5409071066615</c:v>
                </c:pt>
                <c:pt idx="18">
                  <c:v>1428.4621997098836</c:v>
                </c:pt>
                <c:pt idx="19">
                  <c:v>1036.2914995308997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39-4C28-96F0-F0C68E63F21E}"/>
            </c:ext>
          </c:extLst>
        </c:ser>
        <c:ser>
          <c:idx val="15"/>
          <c:order val="15"/>
          <c:tx>
            <c:strRef>
              <c:f>'задание 1'!$A$17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5">
                <a:shade val="68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1'!$B$17:$V$17</c:f>
              <c:numCache>
                <c:formatCode>General</c:formatCode>
                <c:ptCount val="21"/>
                <c:pt idx="0">
                  <c:v>3375</c:v>
                </c:pt>
                <c:pt idx="1">
                  <c:v>3374.789055907791</c:v>
                </c:pt>
                <c:pt idx="2">
                  <c:v>3373.3120779139308</c:v>
                </c:pt>
                <c:pt idx="3">
                  <c:v>3369.2998739537861</c:v>
                </c:pt>
                <c:pt idx="4">
                  <c:v>3361.4728914569578</c:v>
                </c:pt>
                <c:pt idx="5">
                  <c:v>3348.5290030661226</c:v>
                </c:pt>
                <c:pt idx="6">
                  <c:v>3329.1257298275773</c:v>
                </c:pt>
                <c:pt idx="7">
                  <c:v>3301.85583469736</c:v>
                </c:pt>
                <c:pt idx="8">
                  <c:v>3265.2143880609124</c:v>
                </c:pt>
                <c:pt idx="9">
                  <c:v>3217.5540860838687</c:v>
                </c:pt>
                <c:pt idx="10">
                  <c:v>3157.0234200905129</c:v>
                </c:pt>
                <c:pt idx="11">
                  <c:v>3081.478503190473</c:v>
                </c:pt>
                <c:pt idx="12">
                  <c:v>2988.3523888591185</c:v>
                </c:pt>
                <c:pt idx="13">
                  <c:v>2874.452053761725</c:v>
                </c:pt>
                <c:pt idx="14">
                  <c:v>2735.6243574365253</c:v>
                </c:pt>
                <c:pt idx="15">
                  <c:v>2566.1654424695612</c:v>
                </c:pt>
                <c:pt idx="16">
                  <c:v>2357.6736415373521</c:v>
                </c:pt>
                <c:pt idx="17">
                  <c:v>2096.5107731359267</c:v>
                </c:pt>
                <c:pt idx="18">
                  <c:v>1756.9460364507497</c:v>
                </c:pt>
                <c:pt idx="19">
                  <c:v>1274.5932255527648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39-4C28-96F0-F0C68E63F21E}"/>
            </c:ext>
          </c:extLst>
        </c:ser>
        <c:ser>
          <c:idx val="16"/>
          <c:order val="16"/>
          <c:tx>
            <c:strRef>
              <c:f>'задание 1'!$A$18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5">
                <a:shade val="61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1'!$B$18:$V$18</c:f>
              <c:numCache>
                <c:formatCode>General</c:formatCode>
                <c:ptCount val="21"/>
                <c:pt idx="0">
                  <c:v>4096</c:v>
                </c:pt>
                <c:pt idx="1">
                  <c:v>4095.7439919994999</c:v>
                </c:pt>
                <c:pt idx="2">
                  <c:v>4093.9514877438401</c:v>
                </c:pt>
                <c:pt idx="3">
                  <c:v>4089.0821581376913</c:v>
                </c:pt>
                <c:pt idx="4">
                  <c:v>4079.5831002689479</c:v>
                </c:pt>
                <c:pt idx="5">
                  <c:v>4063.8740137952113</c:v>
                </c:pt>
                <c:pt idx="6">
                  <c:v>4040.325626481113</c:v>
                </c:pt>
                <c:pt idx="7">
                  <c:v>4007.2300737541887</c:v>
                </c:pt>
                <c:pt idx="8">
                  <c:v>3962.7609284437031</c:v>
                </c:pt>
                <c:pt idx="9">
                  <c:v>3904.9189738072669</c:v>
                </c:pt>
                <c:pt idx="10">
                  <c:v>3831.4571640565159</c:v>
                </c:pt>
                <c:pt idx="11">
                  <c:v>3739.7736145387194</c:v>
                </c:pt>
                <c:pt idx="12">
                  <c:v>3626.7530028939109</c:v>
                </c:pt>
                <c:pt idx="13">
                  <c:v>3488.5201813949707</c:v>
                </c:pt>
                <c:pt idx="14">
                  <c:v>3320.0347757214836</c:v>
                </c:pt>
                <c:pt idx="15">
                  <c:v>3114.3744155126883</c:v>
                </c:pt>
                <c:pt idx="16">
                  <c:v>2861.3425883665168</c:v>
                </c:pt>
                <c:pt idx="17">
                  <c:v>2544.387593115483</c:v>
                </c:pt>
                <c:pt idx="18">
                  <c:v>2132.2817674969692</c:v>
                </c:pt>
                <c:pt idx="19">
                  <c:v>1546.8841042560371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C39-4C28-96F0-F0C68E63F21E}"/>
            </c:ext>
          </c:extLst>
        </c:ser>
        <c:ser>
          <c:idx val="17"/>
          <c:order val="17"/>
          <c:tx>
            <c:strRef>
              <c:f>'задание 1'!$A$19</c:f>
              <c:strCache>
                <c:ptCount val="1"/>
                <c:pt idx="0">
                  <c:v>17</c:v>
                </c:pt>
              </c:strCache>
            </c:strRef>
          </c:tx>
          <c:spPr>
            <a:solidFill>
              <a:schemeClr val="accent5">
                <a:shade val="55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1'!$B$19:$V$19</c:f>
              <c:numCache>
                <c:formatCode>General</c:formatCode>
                <c:ptCount val="21"/>
                <c:pt idx="0">
                  <c:v>4913</c:v>
                </c:pt>
                <c:pt idx="1">
                  <c:v>4912.6929279036967</c:v>
                </c:pt>
                <c:pt idx="2">
                  <c:v>4910.5428855677455</c:v>
                </c:pt>
                <c:pt idx="3">
                  <c:v>4904.7023054029487</c:v>
                </c:pt>
                <c:pt idx="4">
                  <c:v>4893.3085379934919</c:v>
                </c:pt>
                <c:pt idx="5">
                  <c:v>4874.4660717226252</c:v>
                </c:pt>
                <c:pt idx="6">
                  <c:v>4846.2206550052997</c:v>
                </c:pt>
                <c:pt idx="7">
                  <c:v>4806.5237676646311</c:v>
                </c:pt>
                <c:pt idx="8">
                  <c:v>4753.1846780868927</c:v>
                </c:pt>
                <c:pt idx="9">
                  <c:v>4683.8053999792728</c:v>
                </c:pt>
                <c:pt idx="10">
                  <c:v>4595.6906853050932</c:v>
                </c:pt>
                <c:pt idx="11">
                  <c:v>4485.7196699777169</c:v>
                </c:pt>
                <c:pt idx="12">
                  <c:v>4350.155640434029</c:v>
                </c:pt>
                <c:pt idx="13">
                  <c:v>4184.3505007796612</c:v>
                </c:pt>
                <c:pt idx="14">
                  <c:v>3982.2585090624143</c:v>
                </c:pt>
                <c:pt idx="15">
                  <c:v>3735.5765389193939</c:v>
                </c:pt>
                <c:pt idx="16">
                  <c:v>3432.0742521105217</c:v>
                </c:pt>
                <c:pt idx="17">
                  <c:v>3051.8984973086835</c:v>
                </c:pt>
                <c:pt idx="18">
                  <c:v>2557.5928524688989</c:v>
                </c:pt>
                <c:pt idx="19">
                  <c:v>1855.4300791528101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39-4C28-96F0-F0C68E63F21E}"/>
            </c:ext>
          </c:extLst>
        </c:ser>
        <c:ser>
          <c:idx val="18"/>
          <c:order val="18"/>
          <c:tx>
            <c:strRef>
              <c:f>'задание 1'!$A$20</c:f>
              <c:strCache>
                <c:ptCount val="1"/>
                <c:pt idx="0">
                  <c:v>18</c:v>
                </c:pt>
              </c:strCache>
            </c:strRef>
          </c:tx>
          <c:spPr>
            <a:solidFill>
              <a:schemeClr val="accent5">
                <a:shade val="49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1'!$B$20:$V$20</c:f>
              <c:numCache>
                <c:formatCode>General</c:formatCode>
                <c:ptCount val="21"/>
                <c:pt idx="0">
                  <c:v>5832</c:v>
                </c:pt>
                <c:pt idx="1">
                  <c:v>5831.6354886086629</c:v>
                </c:pt>
                <c:pt idx="2">
                  <c:v>5829.0832706352721</c:v>
                </c:pt>
                <c:pt idx="3">
                  <c:v>5822.1501821921429</c:v>
                </c:pt>
                <c:pt idx="4">
                  <c:v>5808.6251564376234</c:v>
                </c:pt>
                <c:pt idx="5">
                  <c:v>5786.25811729826</c:v>
                </c:pt>
                <c:pt idx="6">
                  <c:v>5752.7292611420535</c:v>
                </c:pt>
                <c:pt idx="7">
                  <c:v>5705.6068823570386</c:v>
                </c:pt>
                <c:pt idx="8">
                  <c:v>5642.2904625692572</c:v>
                </c:pt>
                <c:pt idx="9">
                  <c:v>5559.9334607529245</c:v>
                </c:pt>
                <c:pt idx="10">
                  <c:v>5455.3364699164067</c:v>
                </c:pt>
                <c:pt idx="11">
                  <c:v>5324.7948535131372</c:v>
                </c:pt>
                <c:pt idx="12">
                  <c:v>5163.8729279485569</c:v>
                </c:pt>
                <c:pt idx="13">
                  <c:v>4967.0531489002606</c:v>
                </c:pt>
                <c:pt idx="14">
                  <c:v>4727.1588896503154</c:v>
                </c:pt>
                <c:pt idx="15">
                  <c:v>4434.3338845874023</c:v>
                </c:pt>
                <c:pt idx="16">
                  <c:v>4074.0600525765444</c:v>
                </c:pt>
                <c:pt idx="17">
                  <c:v>3622.7706159788809</c:v>
                </c:pt>
                <c:pt idx="18">
                  <c:v>3036.0027509868955</c:v>
                </c:pt>
                <c:pt idx="19">
                  <c:v>2202.497093755178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C39-4C28-96F0-F0C68E63F21E}"/>
            </c:ext>
          </c:extLst>
        </c:ser>
        <c:ser>
          <c:idx val="19"/>
          <c:order val="19"/>
          <c:tx>
            <c:strRef>
              <c:f>'задание 1'!$A$21</c:f>
              <c:strCache>
                <c:ptCount val="1"/>
                <c:pt idx="0">
                  <c:v>19</c:v>
                </c:pt>
              </c:strCache>
            </c:strRef>
          </c:tx>
          <c:spPr>
            <a:solidFill>
              <a:schemeClr val="accent5">
                <a:shade val="42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1'!$B$21:$V$21</c:f>
              <c:numCache>
                <c:formatCode>General</c:formatCode>
                <c:ptCount val="21"/>
                <c:pt idx="0">
                  <c:v>6859</c:v>
                </c:pt>
                <c:pt idx="1">
                  <c:v>6858.5712991026785</c:v>
                </c:pt>
                <c:pt idx="2">
                  <c:v>6855.5696421960447</c:v>
                </c:pt>
                <c:pt idx="3">
                  <c:v>6847.4156549478575</c:v>
                </c:pt>
                <c:pt idx="4">
                  <c:v>6831.5089074083771</c:v>
                </c:pt>
                <c:pt idx="5">
                  <c:v>6805.2030909720106</c:v>
                </c:pt>
                <c:pt idx="6">
                  <c:v>6765.7698906332898</c:v>
                </c:pt>
                <c:pt idx="7">
                  <c:v>6710.3493837597607</c:v>
                </c:pt>
                <c:pt idx="8">
                  <c:v>6635.8831074695699</c:v>
                </c:pt>
                <c:pt idx="9">
                  <c:v>6539.0232522812603</c:v>
                </c:pt>
                <c:pt idx="10">
                  <c:v>6416.0070039706161</c:v>
                </c:pt>
                <c:pt idx="11">
                  <c:v>6262.477349150653</c:v>
                </c:pt>
                <c:pt idx="12">
                  <c:v>6073.2174919065756</c:v>
                </c:pt>
                <c:pt idx="13">
                  <c:v>5841.7382627412362</c:v>
                </c:pt>
                <c:pt idx="14">
                  <c:v>5559.5992496761855</c:v>
                </c:pt>
                <c:pt idx="15">
                  <c:v>5215.2085244144355</c:v>
                </c:pt>
                <c:pt idx="16">
                  <c:v>4791.4914095717622</c:v>
                </c:pt>
                <c:pt idx="17">
                  <c:v>4260.7310793894285</c:v>
                </c:pt>
                <c:pt idx="18">
                  <c:v>3570.6349226713164</c:v>
                </c:pt>
                <c:pt idx="19">
                  <c:v>2590.351091575234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C39-4C28-96F0-F0C68E63F21E}"/>
            </c:ext>
          </c:extLst>
        </c:ser>
        <c:ser>
          <c:idx val="20"/>
          <c:order val="20"/>
          <c:tx>
            <c:strRef>
              <c:f>'задание 1'!$A$22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5">
                <a:shade val="36000"/>
              </a:schemeClr>
            </a:solidFill>
            <a:ln/>
            <a:effectLst/>
            <a:sp3d/>
          </c:spPr>
          <c:cat>
            <c:numRef>
              <c:f>'задание 1'!$B$1:$V$1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'задание 1'!$B$22:$V$22</c:f>
              <c:numCache>
                <c:formatCode>General</c:formatCode>
                <c:ptCount val="21"/>
                <c:pt idx="0">
                  <c:v>8000</c:v>
                </c:pt>
                <c:pt idx="1">
                  <c:v>7999.4999843740234</c:v>
                </c:pt>
                <c:pt idx="2">
                  <c:v>7995.9989994996877</c:v>
                </c:pt>
                <c:pt idx="3">
                  <c:v>7986.4885901126781</c:v>
                </c:pt>
                <c:pt idx="4">
                  <c:v>7967.9357427127889</c:v>
                </c:pt>
                <c:pt idx="5">
                  <c:v>7937.2539331937724</c:v>
                </c:pt>
                <c:pt idx="6">
                  <c:v>7891.2609892209239</c:v>
                </c:pt>
                <c:pt idx="7">
                  <c:v>7826.6212378011496</c:v>
                </c:pt>
                <c:pt idx="8">
                  <c:v>7739.7674383666072</c:v>
                </c:pt>
                <c:pt idx="9">
                  <c:v>7626.7948707173182</c:v>
                </c:pt>
                <c:pt idx="10">
                  <c:v>7483.3147735478824</c:v>
                </c:pt>
                <c:pt idx="11">
                  <c:v>7304.2453408959364</c:v>
                </c:pt>
                <c:pt idx="12">
                  <c:v>7083.5019587771694</c:v>
                </c:pt>
                <c:pt idx="13">
                  <c:v>6813.5159792870518</c:v>
                </c:pt>
                <c:pt idx="14">
                  <c:v>6484.4429213310223</c:v>
                </c:pt>
                <c:pt idx="15">
                  <c:v>6082.7625302982196</c:v>
                </c:pt>
                <c:pt idx="16">
                  <c:v>5588.5597429033533</c:v>
                </c:pt>
                <c:pt idx="17">
                  <c:v>4969.5070178036776</c:v>
                </c:pt>
                <c:pt idx="18">
                  <c:v>4164.6128271425177</c:v>
                </c:pt>
                <c:pt idx="19">
                  <c:v>3021.2580161250726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C39-4C28-96F0-F0C68E63F21E}"/>
            </c:ext>
          </c:extLst>
        </c:ser>
        <c:bandFmts>
          <c:bandFmt>
            <c:idx val="0"/>
            <c:spPr>
              <a:solidFill>
                <a:schemeClr val="accent5">
                  <a:tint val="44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5">
                  <a:tint val="58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5">
                  <a:tint val="7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5">
                  <a:tint val="8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5">
                  <a:shade val="86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5">
                  <a:shade val="7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5">
                  <a:shade val="58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5">
                  <a:shade val="44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5">
                  <a:shade val="4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shade val="44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5">
                  <a:shade val="4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5">
                  <a:shade val="44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5">
                  <a:shade val="44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5">
                  <a:shade val="44000"/>
                </a:schemeClr>
              </a:solidFill>
              <a:ln/>
              <a:effectLst/>
              <a:sp3d/>
            </c:spPr>
          </c:bandFmt>
        </c:bandFmts>
        <c:axId val="426751184"/>
        <c:axId val="426747576"/>
        <c:axId val="343352368"/>
      </c:surface3DChart>
      <c:catAx>
        <c:axId val="42675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747576"/>
        <c:crosses val="autoZero"/>
        <c:auto val="1"/>
        <c:lblAlgn val="ctr"/>
        <c:lblOffset val="100"/>
        <c:noMultiLvlLbl val="0"/>
      </c:catAx>
      <c:valAx>
        <c:axId val="42674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751184"/>
        <c:crosses val="autoZero"/>
        <c:crossBetween val="midCat"/>
      </c:valAx>
      <c:serAx>
        <c:axId val="343352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74757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6650481189851271E-2"/>
          <c:y val="0.19721055701370663"/>
          <c:w val="0.88890507436570432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strRef>
              <c:f>'задание 2'!$C$16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'задание 2'!$B$17:$B$27</c:f>
              <c:numCache>
                <c:formatCode>General</c:formatCode>
                <c:ptCount val="11"/>
                <c:pt idx="0">
                  <c:v>-0.5</c:v>
                </c:pt>
                <c:pt idx="1">
                  <c:v>-0.55000000000000004</c:v>
                </c:pt>
                <c:pt idx="2">
                  <c:v>-0.60000000000000009</c:v>
                </c:pt>
                <c:pt idx="3">
                  <c:v>-0.65000000000000013</c:v>
                </c:pt>
                <c:pt idx="4">
                  <c:v>-0.70000000000000018</c:v>
                </c:pt>
                <c:pt idx="5">
                  <c:v>-0.75000000000000022</c:v>
                </c:pt>
                <c:pt idx="6">
                  <c:v>-0.80000000000000027</c:v>
                </c:pt>
                <c:pt idx="7">
                  <c:v>-0.85000000000000031</c:v>
                </c:pt>
                <c:pt idx="8">
                  <c:v>-0.90000000000000036</c:v>
                </c:pt>
                <c:pt idx="9">
                  <c:v>-0.9500000000000004</c:v>
                </c:pt>
                <c:pt idx="10">
                  <c:v>-1.0000000000000004</c:v>
                </c:pt>
              </c:numCache>
            </c:numRef>
          </c:cat>
          <c:val>
            <c:numRef>
              <c:f>'задание 2'!$C$17:$C$27</c:f>
              <c:numCache>
                <c:formatCode>General</c:formatCode>
                <c:ptCount val="11"/>
                <c:pt idx="0">
                  <c:v>0.62758256189037276</c:v>
                </c:pt>
                <c:pt idx="1">
                  <c:v>0.55002452205950569</c:v>
                </c:pt>
                <c:pt idx="2">
                  <c:v>0.46533561490967812</c:v>
                </c:pt>
                <c:pt idx="3">
                  <c:v>0.3735837985490556</c:v>
                </c:pt>
                <c:pt idx="4">
                  <c:v>0.274842187284488</c:v>
                </c:pt>
                <c:pt idx="5">
                  <c:v>0.16918886887382045</c:v>
                </c:pt>
                <c:pt idx="6">
                  <c:v>5.6706709347164819E-2</c:v>
                </c:pt>
                <c:pt idx="7">
                  <c:v>-6.2516854115018505E-2</c:v>
                </c:pt>
                <c:pt idx="8">
                  <c:v>-0.18839003172933644</c:v>
                </c:pt>
                <c:pt idx="9">
                  <c:v>-0.32081691053611761</c:v>
                </c:pt>
                <c:pt idx="10">
                  <c:v>-0.45969769413186157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69-4833-B67F-32428F11E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440680"/>
        <c:axId val="425440352"/>
      </c:lineChart>
      <c:catAx>
        <c:axId val="425440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440352"/>
        <c:crosses val="autoZero"/>
        <c:auto val="1"/>
        <c:lblAlgn val="ctr"/>
        <c:lblOffset val="100"/>
        <c:noMultiLvlLbl val="0"/>
      </c:catAx>
      <c:valAx>
        <c:axId val="42544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44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182089</xdr:rowOff>
    </xdr:from>
    <xdr:to>
      <xdr:col>15</xdr:col>
      <xdr:colOff>149679</xdr:colOff>
      <xdr:row>51</xdr:row>
      <xdr:rowOff>152153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14</xdr:row>
      <xdr:rowOff>180975</xdr:rowOff>
    </xdr:from>
    <xdr:to>
      <xdr:col>10</xdr:col>
      <xdr:colOff>323850</xdr:colOff>
      <xdr:row>29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V22"/>
  <sheetViews>
    <sheetView topLeftCell="A17" zoomScale="55" zoomScaleNormal="55" workbookViewId="0">
      <selection activeCell="Q24" sqref="Q24"/>
    </sheetView>
  </sheetViews>
  <sheetFormatPr defaultRowHeight="15" x14ac:dyDescent="0.25"/>
  <sheetData>
    <row r="1" spans="1:22" x14ac:dyDescent="0.25">
      <c r="B1">
        <v>0</v>
      </c>
      <c r="C1">
        <v>0.05</v>
      </c>
      <c r="D1">
        <v>0.1</v>
      </c>
      <c r="E1">
        <v>0.15</v>
      </c>
      <c r="F1">
        <v>0.2</v>
      </c>
      <c r="G1">
        <v>0.25</v>
      </c>
      <c r="H1">
        <v>0.3</v>
      </c>
      <c r="I1">
        <v>0.35</v>
      </c>
      <c r="J1">
        <v>0.4</v>
      </c>
      <c r="K1">
        <v>0.45</v>
      </c>
      <c r="L1">
        <v>0.5</v>
      </c>
      <c r="M1">
        <v>0.55000000000000004</v>
      </c>
      <c r="N1">
        <v>0.6</v>
      </c>
      <c r="O1">
        <v>0.65</v>
      </c>
      <c r="P1">
        <v>0.7</v>
      </c>
      <c r="Q1">
        <v>0.75</v>
      </c>
      <c r="R1">
        <v>0.8</v>
      </c>
      <c r="S1">
        <v>0.85</v>
      </c>
      <c r="T1">
        <v>0.9</v>
      </c>
      <c r="U1">
        <v>0.95</v>
      </c>
      <c r="V1">
        <v>1</v>
      </c>
    </row>
    <row r="2" spans="1:22" x14ac:dyDescent="0.25">
      <c r="A2">
        <v>0</v>
      </c>
      <c r="B2">
        <f>CUSTOM(B$1,$A2)</f>
        <v>0</v>
      </c>
      <c r="C2">
        <f t="shared" ref="C2:X13" si="0">CUSTOM(C$1,$A2)</f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</row>
    <row r="3" spans="1:22" x14ac:dyDescent="0.25">
      <c r="A3">
        <v>1</v>
      </c>
      <c r="B3">
        <f t="shared" ref="B3:P22" si="1">CUSTOM(B$1,$A3)</f>
        <v>1</v>
      </c>
      <c r="C3">
        <f t="shared" si="0"/>
        <v>0.99993749804675292</v>
      </c>
      <c r="D3">
        <f t="shared" si="0"/>
        <v>0.99949987493746095</v>
      </c>
      <c r="E3">
        <f t="shared" si="0"/>
        <v>0.99831107376408479</v>
      </c>
      <c r="F3">
        <f t="shared" si="0"/>
        <v>0.9959919678390986</v>
      </c>
      <c r="G3">
        <f t="shared" si="0"/>
        <v>0.99215674164922152</v>
      </c>
      <c r="H3">
        <f t="shared" si="0"/>
        <v>0.98640762365261547</v>
      </c>
      <c r="I3">
        <f t="shared" si="0"/>
        <v>0.97832765472514371</v>
      </c>
      <c r="J3">
        <f t="shared" si="0"/>
        <v>0.96747092979582594</v>
      </c>
      <c r="K3">
        <f t="shared" si="0"/>
        <v>0.95334935883966476</v>
      </c>
      <c r="L3">
        <f t="shared" si="0"/>
        <v>0.93541434669348533</v>
      </c>
      <c r="M3">
        <f t="shared" si="0"/>
        <v>0.91303066761199203</v>
      </c>
      <c r="N3">
        <f t="shared" si="0"/>
        <v>0.88543774484714621</v>
      </c>
      <c r="O3">
        <f t="shared" si="0"/>
        <v>0.85168949741088151</v>
      </c>
      <c r="P3">
        <f t="shared" si="0"/>
        <v>0.81055536516637783</v>
      </c>
      <c r="Q3">
        <f t="shared" si="0"/>
        <v>0.76034531628727742</v>
      </c>
      <c r="R3">
        <f t="shared" si="0"/>
        <v>0.69856996786291914</v>
      </c>
      <c r="S3">
        <f t="shared" si="0"/>
        <v>0.62118837722545972</v>
      </c>
      <c r="T3">
        <f t="shared" si="0"/>
        <v>0.52057660339281475</v>
      </c>
      <c r="U3">
        <f t="shared" si="0"/>
        <v>0.37765725201563405</v>
      </c>
      <c r="V3">
        <f t="shared" si="0"/>
        <v>0</v>
      </c>
    </row>
    <row r="4" spans="1:22" x14ac:dyDescent="0.25">
      <c r="A4">
        <v>2</v>
      </c>
      <c r="B4">
        <f t="shared" si="1"/>
        <v>8</v>
      </c>
      <c r="C4">
        <f t="shared" si="0"/>
        <v>7.9994999843740233</v>
      </c>
      <c r="D4">
        <f t="shared" si="0"/>
        <v>7.9959989994996876</v>
      </c>
      <c r="E4">
        <f t="shared" si="0"/>
        <v>7.9864885901126783</v>
      </c>
      <c r="F4">
        <f t="shared" si="0"/>
        <v>7.9679357427127888</v>
      </c>
      <c r="G4">
        <f t="shared" si="0"/>
        <v>7.9372539331937721</v>
      </c>
      <c r="H4">
        <f t="shared" si="0"/>
        <v>7.8912609892209238</v>
      </c>
      <c r="I4">
        <f t="shared" si="0"/>
        <v>7.8266212378011497</v>
      </c>
      <c r="J4">
        <f t="shared" si="0"/>
        <v>7.7397674383666075</v>
      </c>
      <c r="K4">
        <f t="shared" si="0"/>
        <v>7.6267948707173181</v>
      </c>
      <c r="L4">
        <f t="shared" si="0"/>
        <v>7.4833147735478827</v>
      </c>
      <c r="M4">
        <f t="shared" si="0"/>
        <v>7.3042453408959362</v>
      </c>
      <c r="N4">
        <f t="shared" si="0"/>
        <v>7.0835019587771697</v>
      </c>
      <c r="O4">
        <f t="shared" si="0"/>
        <v>6.8135159792870521</v>
      </c>
      <c r="P4">
        <f t="shared" si="0"/>
        <v>6.4844429213310226</v>
      </c>
      <c r="Q4">
        <f t="shared" si="0"/>
        <v>6.0827625302982193</v>
      </c>
      <c r="R4">
        <f t="shared" si="0"/>
        <v>5.5885597429033531</v>
      </c>
      <c r="S4">
        <f t="shared" si="0"/>
        <v>4.9695070178036778</v>
      </c>
      <c r="T4">
        <f t="shared" si="0"/>
        <v>4.164612827142518</v>
      </c>
      <c r="U4">
        <f t="shared" si="0"/>
        <v>3.0212580161250724</v>
      </c>
      <c r="V4">
        <f t="shared" si="0"/>
        <v>0</v>
      </c>
    </row>
    <row r="5" spans="1:22" x14ac:dyDescent="0.25">
      <c r="A5">
        <v>3</v>
      </c>
      <c r="B5">
        <f t="shared" si="1"/>
        <v>27</v>
      </c>
      <c r="C5">
        <f t="shared" si="0"/>
        <v>26.998312447262329</v>
      </c>
      <c r="D5">
        <f t="shared" si="0"/>
        <v>26.986496623311446</v>
      </c>
      <c r="E5">
        <f t="shared" si="0"/>
        <v>26.954398991630288</v>
      </c>
      <c r="F5">
        <f t="shared" si="0"/>
        <v>26.891783131655661</v>
      </c>
      <c r="G5">
        <f t="shared" si="0"/>
        <v>26.78823202452898</v>
      </c>
      <c r="H5">
        <f t="shared" si="0"/>
        <v>26.633005838620619</v>
      </c>
      <c r="I5">
        <f t="shared" si="0"/>
        <v>26.414846677578879</v>
      </c>
      <c r="J5">
        <f t="shared" si="0"/>
        <v>26.121715104487301</v>
      </c>
      <c r="K5">
        <f t="shared" si="0"/>
        <v>25.74043268867095</v>
      </c>
      <c r="L5">
        <f t="shared" si="0"/>
        <v>25.256187360724105</v>
      </c>
      <c r="M5">
        <f t="shared" si="0"/>
        <v>24.651828025523784</v>
      </c>
      <c r="N5">
        <f t="shared" si="0"/>
        <v>23.906819110872949</v>
      </c>
      <c r="O5">
        <f t="shared" si="0"/>
        <v>22.995616430093801</v>
      </c>
      <c r="P5">
        <f t="shared" si="0"/>
        <v>21.884994859492203</v>
      </c>
      <c r="Q5">
        <f t="shared" si="0"/>
        <v>20.52932353975649</v>
      </c>
      <c r="R5">
        <f t="shared" si="0"/>
        <v>18.861389132298818</v>
      </c>
      <c r="S5">
        <f t="shared" si="0"/>
        <v>16.772086185087414</v>
      </c>
      <c r="T5">
        <f t="shared" si="0"/>
        <v>14.055568291605999</v>
      </c>
      <c r="U5">
        <f t="shared" si="0"/>
        <v>10.19674580442212</v>
      </c>
      <c r="V5">
        <f t="shared" si="0"/>
        <v>0</v>
      </c>
    </row>
    <row r="6" spans="1:22" x14ac:dyDescent="0.25">
      <c r="A6">
        <v>4</v>
      </c>
      <c r="B6">
        <f t="shared" si="1"/>
        <v>64</v>
      </c>
      <c r="C6">
        <f t="shared" si="0"/>
        <v>63.995999874992187</v>
      </c>
      <c r="D6">
        <f t="shared" si="0"/>
        <v>63.967991995997501</v>
      </c>
      <c r="E6">
        <f t="shared" si="0"/>
        <v>63.891908720901426</v>
      </c>
      <c r="F6">
        <f t="shared" si="0"/>
        <v>63.743485941702311</v>
      </c>
      <c r="G6">
        <f t="shared" si="0"/>
        <v>63.498031465550177</v>
      </c>
      <c r="H6">
        <f t="shared" si="0"/>
        <v>63.13008791376739</v>
      </c>
      <c r="I6">
        <f t="shared" si="0"/>
        <v>62.612969902409198</v>
      </c>
      <c r="J6">
        <f t="shared" si="0"/>
        <v>61.91813950693286</v>
      </c>
      <c r="K6">
        <f t="shared" si="0"/>
        <v>61.014358965738545</v>
      </c>
      <c r="L6">
        <f t="shared" si="0"/>
        <v>59.866518188383061</v>
      </c>
      <c r="M6">
        <f t="shared" si="0"/>
        <v>58.43396272716749</v>
      </c>
      <c r="N6">
        <f t="shared" si="0"/>
        <v>56.668015670217358</v>
      </c>
      <c r="O6">
        <f t="shared" si="0"/>
        <v>54.508127834296417</v>
      </c>
      <c r="P6">
        <f t="shared" si="0"/>
        <v>51.875543370648181</v>
      </c>
      <c r="Q6">
        <f t="shared" si="0"/>
        <v>48.662100242385755</v>
      </c>
      <c r="R6">
        <f t="shared" si="0"/>
        <v>44.708477943226825</v>
      </c>
      <c r="S6">
        <f t="shared" si="0"/>
        <v>39.756056142429422</v>
      </c>
      <c r="T6">
        <f t="shared" si="0"/>
        <v>33.316902617140144</v>
      </c>
      <c r="U6">
        <f t="shared" si="0"/>
        <v>24.170064129000579</v>
      </c>
      <c r="V6">
        <f t="shared" si="0"/>
        <v>0</v>
      </c>
    </row>
    <row r="7" spans="1:22" x14ac:dyDescent="0.25">
      <c r="A7">
        <v>5</v>
      </c>
      <c r="B7">
        <f t="shared" si="1"/>
        <v>125</v>
      </c>
      <c r="C7">
        <f t="shared" si="0"/>
        <v>124.99218725584412</v>
      </c>
      <c r="D7">
        <f t="shared" si="0"/>
        <v>124.93748436718262</v>
      </c>
      <c r="E7">
        <f t="shared" si="0"/>
        <v>124.7888842205106</v>
      </c>
      <c r="F7">
        <f t="shared" si="0"/>
        <v>124.49899597988733</v>
      </c>
      <c r="G7">
        <f t="shared" si="0"/>
        <v>124.01959270615269</v>
      </c>
      <c r="H7">
        <f t="shared" si="0"/>
        <v>123.30095295657694</v>
      </c>
      <c r="I7">
        <f t="shared" si="0"/>
        <v>122.29095684064296</v>
      </c>
      <c r="J7">
        <f t="shared" si="0"/>
        <v>120.93386622447824</v>
      </c>
      <c r="K7">
        <f t="shared" si="0"/>
        <v>119.1686698549581</v>
      </c>
      <c r="L7">
        <f t="shared" si="0"/>
        <v>116.92679333668566</v>
      </c>
      <c r="M7">
        <f t="shared" si="0"/>
        <v>114.12883345149901</v>
      </c>
      <c r="N7">
        <f t="shared" si="0"/>
        <v>110.67971810589327</v>
      </c>
      <c r="O7">
        <f t="shared" si="0"/>
        <v>106.46118717636018</v>
      </c>
      <c r="P7">
        <f t="shared" si="0"/>
        <v>101.31942064579722</v>
      </c>
      <c r="Q7">
        <f t="shared" si="0"/>
        <v>95.043164535909682</v>
      </c>
      <c r="R7">
        <f t="shared" si="0"/>
        <v>87.321245982864895</v>
      </c>
      <c r="S7">
        <f t="shared" si="0"/>
        <v>77.648547153182463</v>
      </c>
      <c r="T7">
        <f t="shared" si="0"/>
        <v>65.07207542410184</v>
      </c>
      <c r="U7">
        <f t="shared" si="0"/>
        <v>47.207156501954259</v>
      </c>
      <c r="V7">
        <f t="shared" si="0"/>
        <v>0</v>
      </c>
    </row>
    <row r="8" spans="1:22" x14ac:dyDescent="0.25">
      <c r="A8">
        <v>6</v>
      </c>
      <c r="B8">
        <f t="shared" si="1"/>
        <v>216</v>
      </c>
      <c r="C8">
        <f t="shared" si="0"/>
        <v>215.98649957809863</v>
      </c>
      <c r="D8">
        <f t="shared" si="0"/>
        <v>215.89197298649157</v>
      </c>
      <c r="E8">
        <f t="shared" si="0"/>
        <v>215.63519193304231</v>
      </c>
      <c r="F8">
        <f t="shared" si="0"/>
        <v>215.13426505324529</v>
      </c>
      <c r="G8">
        <f t="shared" si="0"/>
        <v>214.30585619623184</v>
      </c>
      <c r="H8">
        <f t="shared" si="0"/>
        <v>213.06404670896495</v>
      </c>
      <c r="I8">
        <f t="shared" si="0"/>
        <v>211.31877342063103</v>
      </c>
      <c r="J8">
        <f t="shared" si="0"/>
        <v>208.9737208358984</v>
      </c>
      <c r="K8">
        <f t="shared" si="0"/>
        <v>205.9234615093676</v>
      </c>
      <c r="L8">
        <f t="shared" si="0"/>
        <v>202.04949888579284</v>
      </c>
      <c r="M8">
        <f t="shared" si="0"/>
        <v>197.21462420419027</v>
      </c>
      <c r="N8">
        <f t="shared" si="0"/>
        <v>191.25455288698359</v>
      </c>
      <c r="O8">
        <f t="shared" si="0"/>
        <v>183.96493144075041</v>
      </c>
      <c r="P8">
        <f t="shared" si="0"/>
        <v>175.07995887593762</v>
      </c>
      <c r="Q8">
        <f t="shared" si="0"/>
        <v>164.23458831805192</v>
      </c>
      <c r="R8">
        <f t="shared" si="0"/>
        <v>150.89111305839054</v>
      </c>
      <c r="S8">
        <f t="shared" si="0"/>
        <v>134.17668948069931</v>
      </c>
      <c r="T8">
        <f t="shared" si="0"/>
        <v>112.44454633284799</v>
      </c>
      <c r="U8">
        <f t="shared" si="0"/>
        <v>81.57396643537696</v>
      </c>
      <c r="V8">
        <f t="shared" si="0"/>
        <v>0</v>
      </c>
    </row>
    <row r="9" spans="1:22" x14ac:dyDescent="0.25">
      <c r="A9">
        <v>7</v>
      </c>
      <c r="B9">
        <f t="shared" si="1"/>
        <v>343</v>
      </c>
      <c r="C9">
        <f t="shared" si="0"/>
        <v>342.97856183003626</v>
      </c>
      <c r="D9">
        <f t="shared" si="0"/>
        <v>342.82845710354911</v>
      </c>
      <c r="E9">
        <f t="shared" si="0"/>
        <v>342.42069830108107</v>
      </c>
      <c r="F9">
        <f t="shared" si="0"/>
        <v>341.62524496881082</v>
      </c>
      <c r="G9">
        <f t="shared" si="0"/>
        <v>340.30976238568297</v>
      </c>
      <c r="H9">
        <f t="shared" si="0"/>
        <v>338.33781491284708</v>
      </c>
      <c r="I9">
        <f t="shared" si="0"/>
        <v>335.56638557072432</v>
      </c>
      <c r="J9">
        <f t="shared" si="0"/>
        <v>331.84252891996829</v>
      </c>
      <c r="K9">
        <f t="shared" si="0"/>
        <v>326.99883008200499</v>
      </c>
      <c r="L9">
        <f t="shared" si="0"/>
        <v>320.84712091586545</v>
      </c>
      <c r="M9">
        <f t="shared" si="0"/>
        <v>313.16951899091328</v>
      </c>
      <c r="N9">
        <f t="shared" si="0"/>
        <v>303.70514648257114</v>
      </c>
      <c r="O9">
        <f t="shared" si="0"/>
        <v>292.12949761193238</v>
      </c>
      <c r="P9">
        <f t="shared" si="0"/>
        <v>278.02049025206759</v>
      </c>
      <c r="Q9">
        <f t="shared" si="0"/>
        <v>260.79844348653614</v>
      </c>
      <c r="R9">
        <f t="shared" si="0"/>
        <v>239.60949897698126</v>
      </c>
      <c r="S9">
        <f t="shared" si="0"/>
        <v>213.06761338833269</v>
      </c>
      <c r="T9">
        <f t="shared" si="0"/>
        <v>178.55777496373545</v>
      </c>
      <c r="U9">
        <f t="shared" si="0"/>
        <v>129.53643744136247</v>
      </c>
      <c r="V9">
        <f t="shared" si="0"/>
        <v>0</v>
      </c>
    </row>
    <row r="10" spans="1:22" x14ac:dyDescent="0.25">
      <c r="A10">
        <v>8</v>
      </c>
      <c r="B10">
        <f t="shared" si="1"/>
        <v>512</v>
      </c>
      <c r="C10">
        <f t="shared" si="0"/>
        <v>511.96799899993749</v>
      </c>
      <c r="D10">
        <f t="shared" si="0"/>
        <v>511.74393596798001</v>
      </c>
      <c r="E10">
        <f t="shared" si="0"/>
        <v>511.13526976721141</v>
      </c>
      <c r="F10">
        <f t="shared" si="0"/>
        <v>509.94788753361848</v>
      </c>
      <c r="G10">
        <f t="shared" si="0"/>
        <v>507.98425172440142</v>
      </c>
      <c r="H10">
        <f t="shared" si="0"/>
        <v>505.04070331013912</v>
      </c>
      <c r="I10">
        <f t="shared" si="0"/>
        <v>500.90375921927358</v>
      </c>
      <c r="J10">
        <f t="shared" si="0"/>
        <v>495.34511605546288</v>
      </c>
      <c r="K10">
        <f t="shared" si="0"/>
        <v>488.11487172590836</v>
      </c>
      <c r="L10">
        <f t="shared" si="0"/>
        <v>478.93214550706449</v>
      </c>
      <c r="M10">
        <f t="shared" si="0"/>
        <v>467.47170181733992</v>
      </c>
      <c r="N10">
        <f t="shared" si="0"/>
        <v>453.34412536173886</v>
      </c>
      <c r="O10">
        <f t="shared" si="0"/>
        <v>436.06502267437133</v>
      </c>
      <c r="P10">
        <f t="shared" si="0"/>
        <v>415.00434696518545</v>
      </c>
      <c r="Q10">
        <f t="shared" si="0"/>
        <v>389.29680193908604</v>
      </c>
      <c r="R10">
        <f t="shared" si="0"/>
        <v>357.6678235458146</v>
      </c>
      <c r="S10">
        <f t="shared" si="0"/>
        <v>318.04844913943538</v>
      </c>
      <c r="T10">
        <f t="shared" si="0"/>
        <v>266.53522093712115</v>
      </c>
      <c r="U10">
        <f t="shared" si="0"/>
        <v>193.36051303200463</v>
      </c>
      <c r="V10">
        <f t="shared" si="0"/>
        <v>0</v>
      </c>
    </row>
    <row r="11" spans="1:22" x14ac:dyDescent="0.25">
      <c r="A11">
        <v>9</v>
      </c>
      <c r="B11">
        <f t="shared" si="1"/>
        <v>729</v>
      </c>
      <c r="C11">
        <f t="shared" si="0"/>
        <v>728.95443607608286</v>
      </c>
      <c r="D11">
        <f t="shared" si="0"/>
        <v>728.63540882940902</v>
      </c>
      <c r="E11">
        <f t="shared" si="0"/>
        <v>727.76877277401786</v>
      </c>
      <c r="F11">
        <f t="shared" si="0"/>
        <v>726.07814455470293</v>
      </c>
      <c r="G11">
        <f t="shared" si="0"/>
        <v>723.2822646622825</v>
      </c>
      <c r="H11">
        <f t="shared" si="0"/>
        <v>719.09115764275668</v>
      </c>
      <c r="I11">
        <f t="shared" si="0"/>
        <v>713.20086029462982</v>
      </c>
      <c r="J11">
        <f t="shared" si="0"/>
        <v>705.28630782115715</v>
      </c>
      <c r="K11">
        <f t="shared" si="0"/>
        <v>694.99168259411556</v>
      </c>
      <c r="L11">
        <f t="shared" si="0"/>
        <v>681.91705873955084</v>
      </c>
      <c r="M11">
        <f t="shared" si="0"/>
        <v>665.59935668914216</v>
      </c>
      <c r="N11">
        <f t="shared" si="0"/>
        <v>645.48411599356962</v>
      </c>
      <c r="O11">
        <f t="shared" si="0"/>
        <v>620.88164361253257</v>
      </c>
      <c r="P11">
        <f t="shared" si="0"/>
        <v>590.89486120628942</v>
      </c>
      <c r="Q11">
        <f t="shared" si="0"/>
        <v>554.29173557342529</v>
      </c>
      <c r="R11">
        <f t="shared" si="0"/>
        <v>509.25750657206805</v>
      </c>
      <c r="S11">
        <f t="shared" si="0"/>
        <v>452.84632699736011</v>
      </c>
      <c r="T11">
        <f t="shared" si="0"/>
        <v>379.50034387336194</v>
      </c>
      <c r="U11">
        <f t="shared" si="0"/>
        <v>275.31213671939724</v>
      </c>
      <c r="V11">
        <f t="shared" si="0"/>
        <v>0</v>
      </c>
    </row>
    <row r="12" spans="1:22" x14ac:dyDescent="0.25">
      <c r="A12">
        <v>10</v>
      </c>
      <c r="B12">
        <f t="shared" si="1"/>
        <v>1000</v>
      </c>
      <c r="C12">
        <f t="shared" si="0"/>
        <v>999.93749804675292</v>
      </c>
      <c r="D12">
        <f t="shared" si="0"/>
        <v>999.49987493746096</v>
      </c>
      <c r="E12">
        <f t="shared" si="0"/>
        <v>998.31107376408477</v>
      </c>
      <c r="F12">
        <f t="shared" si="0"/>
        <v>995.99196783909861</v>
      </c>
      <c r="G12">
        <f t="shared" si="0"/>
        <v>992.15674164922154</v>
      </c>
      <c r="H12">
        <f t="shared" si="0"/>
        <v>986.40762365261548</v>
      </c>
      <c r="I12">
        <f t="shared" si="0"/>
        <v>978.3276547251437</v>
      </c>
      <c r="J12">
        <f t="shared" si="0"/>
        <v>967.4709297958259</v>
      </c>
      <c r="K12">
        <f t="shared" si="0"/>
        <v>953.34935883966477</v>
      </c>
      <c r="L12">
        <f t="shared" si="0"/>
        <v>935.4143466934853</v>
      </c>
      <c r="M12">
        <f t="shared" si="0"/>
        <v>913.03066761199204</v>
      </c>
      <c r="N12">
        <f t="shared" si="0"/>
        <v>885.43774484714618</v>
      </c>
      <c r="O12">
        <f t="shared" si="0"/>
        <v>851.68949741088147</v>
      </c>
      <c r="P12">
        <f t="shared" si="0"/>
        <v>810.55536516637778</v>
      </c>
      <c r="Q12">
        <f t="shared" si="0"/>
        <v>760.34531628727746</v>
      </c>
      <c r="R12">
        <f t="shared" si="0"/>
        <v>698.56996786291916</v>
      </c>
      <c r="S12">
        <f t="shared" si="0"/>
        <v>621.1883772254597</v>
      </c>
      <c r="T12">
        <f t="shared" si="0"/>
        <v>520.57660339281472</v>
      </c>
      <c r="U12">
        <f t="shared" si="0"/>
        <v>377.65725201563407</v>
      </c>
      <c r="V12">
        <f t="shared" si="0"/>
        <v>0</v>
      </c>
    </row>
    <row r="13" spans="1:22" x14ac:dyDescent="0.25">
      <c r="A13">
        <v>11</v>
      </c>
      <c r="B13">
        <f>CUSTOM(B$1,$A13)</f>
        <v>1331</v>
      </c>
      <c r="C13">
        <f t="shared" si="0"/>
        <v>1330.9168099002281</v>
      </c>
      <c r="D13">
        <f t="shared" si="0"/>
        <v>1330.3343335417605</v>
      </c>
      <c r="E13">
        <f t="shared" si="0"/>
        <v>1328.7520391799969</v>
      </c>
      <c r="F13">
        <f t="shared" si="0"/>
        <v>1325.6653091938401</v>
      </c>
      <c r="G13">
        <f t="shared" si="0"/>
        <v>1320.5606231351139</v>
      </c>
      <c r="H13">
        <f t="shared" si="0"/>
        <v>1312.9085470816312</v>
      </c>
      <c r="I13">
        <f t="shared" si="0"/>
        <v>1302.1541084391663</v>
      </c>
      <c r="J13">
        <f t="shared" si="0"/>
        <v>1287.7038075582443</v>
      </c>
      <c r="K13">
        <f t="shared" si="0"/>
        <v>1268.9079966155939</v>
      </c>
      <c r="L13">
        <f t="shared" si="0"/>
        <v>1245.036495449029</v>
      </c>
      <c r="M13">
        <f t="shared" si="0"/>
        <v>1215.2438185915614</v>
      </c>
      <c r="N13">
        <f t="shared" si="0"/>
        <v>1178.5176383915516</v>
      </c>
      <c r="O13">
        <f t="shared" si="0"/>
        <v>1133.5987210538833</v>
      </c>
      <c r="P13">
        <f t="shared" ref="P13:V22" si="2">CUSTOM(P$1,$A13)</f>
        <v>1078.8491910364489</v>
      </c>
      <c r="Q13">
        <f t="shared" si="2"/>
        <v>1012.0196159783662</v>
      </c>
      <c r="R13">
        <f t="shared" si="2"/>
        <v>929.79662722554542</v>
      </c>
      <c r="S13">
        <f t="shared" si="2"/>
        <v>826.80173008708687</v>
      </c>
      <c r="T13">
        <f t="shared" si="2"/>
        <v>692.88745911583646</v>
      </c>
      <c r="U13">
        <f t="shared" si="2"/>
        <v>502.66180243280894</v>
      </c>
      <c r="V13">
        <f t="shared" si="2"/>
        <v>0</v>
      </c>
    </row>
    <row r="14" spans="1:22" x14ac:dyDescent="0.25">
      <c r="A14">
        <v>12</v>
      </c>
      <c r="B14">
        <f t="shared" ref="B14:Q22" si="3">CUSTOM(B$1,$A14)</f>
        <v>1728</v>
      </c>
      <c r="C14">
        <f t="shared" si="3"/>
        <v>1727.891996624789</v>
      </c>
      <c r="D14">
        <f t="shared" si="3"/>
        <v>1727.1357838919325</v>
      </c>
      <c r="E14">
        <f t="shared" si="3"/>
        <v>1725.0815354643385</v>
      </c>
      <c r="F14">
        <f t="shared" si="3"/>
        <v>1721.0741204259623</v>
      </c>
      <c r="G14">
        <f t="shared" si="3"/>
        <v>1714.4468495698547</v>
      </c>
      <c r="H14">
        <f t="shared" si="3"/>
        <v>1704.5123736717196</v>
      </c>
      <c r="I14">
        <f t="shared" si="3"/>
        <v>1690.5501873650483</v>
      </c>
      <c r="J14">
        <f t="shared" si="3"/>
        <v>1671.7897666871872</v>
      </c>
      <c r="K14">
        <f t="shared" si="3"/>
        <v>1647.3876920749408</v>
      </c>
      <c r="L14">
        <f t="shared" si="3"/>
        <v>1616.3959910863427</v>
      </c>
      <c r="M14">
        <f t="shared" si="3"/>
        <v>1577.7169936335222</v>
      </c>
      <c r="N14">
        <f t="shared" si="3"/>
        <v>1530.0364230958687</v>
      </c>
      <c r="O14">
        <f t="shared" si="3"/>
        <v>1471.7194515260032</v>
      </c>
      <c r="P14">
        <f t="shared" si="3"/>
        <v>1400.639671007501</v>
      </c>
      <c r="Q14">
        <f t="shared" si="3"/>
        <v>1313.8767065444154</v>
      </c>
      <c r="R14">
        <f t="shared" si="2"/>
        <v>1207.1289044671244</v>
      </c>
      <c r="S14">
        <f t="shared" si="2"/>
        <v>1073.4135158455945</v>
      </c>
      <c r="T14">
        <f t="shared" si="2"/>
        <v>899.55637066278393</v>
      </c>
      <c r="U14">
        <f t="shared" si="2"/>
        <v>652.59173148301568</v>
      </c>
      <c r="V14">
        <f t="shared" si="2"/>
        <v>0</v>
      </c>
    </row>
    <row r="15" spans="1:22" x14ac:dyDescent="0.25">
      <c r="A15">
        <v>13</v>
      </c>
      <c r="B15">
        <f t="shared" si="3"/>
        <v>2197</v>
      </c>
      <c r="C15">
        <f t="shared" si="3"/>
        <v>2196.8626832087161</v>
      </c>
      <c r="D15">
        <f t="shared" si="3"/>
        <v>2195.9012252376019</v>
      </c>
      <c r="E15">
        <f t="shared" si="3"/>
        <v>2193.2894290596942</v>
      </c>
      <c r="F15">
        <f t="shared" si="3"/>
        <v>2188.1943533424997</v>
      </c>
      <c r="G15">
        <f t="shared" si="3"/>
        <v>2179.7683614033399</v>
      </c>
      <c r="H15">
        <f t="shared" si="3"/>
        <v>2167.1375491647964</v>
      </c>
      <c r="I15">
        <f t="shared" si="3"/>
        <v>2149.3858574311407</v>
      </c>
      <c r="J15">
        <f t="shared" si="3"/>
        <v>2125.5336327614295</v>
      </c>
      <c r="K15">
        <f t="shared" si="3"/>
        <v>2094.5085413707434</v>
      </c>
      <c r="L15">
        <f t="shared" si="3"/>
        <v>2055.1053196855873</v>
      </c>
      <c r="M15">
        <f t="shared" si="3"/>
        <v>2005.9283767435466</v>
      </c>
      <c r="N15">
        <f t="shared" si="3"/>
        <v>1945.3067254291802</v>
      </c>
      <c r="O15">
        <f t="shared" si="3"/>
        <v>1871.1618258117066</v>
      </c>
      <c r="P15">
        <f t="shared" si="3"/>
        <v>1780.7901372705321</v>
      </c>
      <c r="Q15">
        <f t="shared" si="3"/>
        <v>1670.4786598831486</v>
      </c>
      <c r="R15">
        <f t="shared" si="2"/>
        <v>1534.7582193948333</v>
      </c>
      <c r="S15">
        <f t="shared" si="2"/>
        <v>1364.7508647643349</v>
      </c>
      <c r="T15">
        <f t="shared" si="2"/>
        <v>1143.7067976540141</v>
      </c>
      <c r="U15">
        <f t="shared" si="2"/>
        <v>829.712982678348</v>
      </c>
      <c r="V15">
        <f t="shared" si="2"/>
        <v>0</v>
      </c>
    </row>
    <row r="16" spans="1:22" x14ac:dyDescent="0.25">
      <c r="A16">
        <v>14</v>
      </c>
      <c r="B16">
        <f t="shared" si="3"/>
        <v>2744</v>
      </c>
      <c r="C16">
        <f t="shared" si="3"/>
        <v>2743.82849464029</v>
      </c>
      <c r="D16">
        <f t="shared" si="3"/>
        <v>2742.6276568283929</v>
      </c>
      <c r="E16">
        <f t="shared" si="3"/>
        <v>2739.3655864086486</v>
      </c>
      <c r="F16">
        <f t="shared" si="3"/>
        <v>2733.0019597504865</v>
      </c>
      <c r="G16">
        <f t="shared" si="3"/>
        <v>2722.4780990854638</v>
      </c>
      <c r="H16">
        <f t="shared" si="3"/>
        <v>2706.7025193027766</v>
      </c>
      <c r="I16">
        <f t="shared" si="3"/>
        <v>2684.5310845657946</v>
      </c>
      <c r="J16">
        <f t="shared" si="3"/>
        <v>2654.7402313597463</v>
      </c>
      <c r="K16">
        <f t="shared" si="3"/>
        <v>2615.9906406560399</v>
      </c>
      <c r="L16">
        <f t="shared" si="3"/>
        <v>2566.7769673269236</v>
      </c>
      <c r="M16">
        <f t="shared" si="3"/>
        <v>2505.3561519273062</v>
      </c>
      <c r="N16">
        <f t="shared" si="3"/>
        <v>2429.6411718605691</v>
      </c>
      <c r="O16">
        <f t="shared" si="3"/>
        <v>2337.035980895459</v>
      </c>
      <c r="P16">
        <f t="shared" si="3"/>
        <v>2224.1639220165407</v>
      </c>
      <c r="Q16">
        <f t="shared" si="3"/>
        <v>2086.3875478922891</v>
      </c>
      <c r="R16">
        <f t="shared" si="2"/>
        <v>1916.8759918158501</v>
      </c>
      <c r="S16">
        <f t="shared" si="2"/>
        <v>1704.5409071066615</v>
      </c>
      <c r="T16">
        <f t="shared" si="2"/>
        <v>1428.4621997098836</v>
      </c>
      <c r="U16">
        <f t="shared" si="2"/>
        <v>1036.2914995308997</v>
      </c>
      <c r="V16">
        <f t="shared" si="2"/>
        <v>0</v>
      </c>
    </row>
    <row r="17" spans="1:22" x14ac:dyDescent="0.25">
      <c r="A17">
        <v>15</v>
      </c>
      <c r="B17">
        <f t="shared" si="3"/>
        <v>3375</v>
      </c>
      <c r="C17">
        <f t="shared" si="3"/>
        <v>3374.789055907791</v>
      </c>
      <c r="D17">
        <f t="shared" si="3"/>
        <v>3373.3120779139308</v>
      </c>
      <c r="E17">
        <f t="shared" si="3"/>
        <v>3369.2998739537861</v>
      </c>
      <c r="F17">
        <f t="shared" si="3"/>
        <v>3361.4728914569578</v>
      </c>
      <c r="G17">
        <f t="shared" si="3"/>
        <v>3348.5290030661226</v>
      </c>
      <c r="H17">
        <f t="shared" si="3"/>
        <v>3329.1257298275773</v>
      </c>
      <c r="I17">
        <f t="shared" si="3"/>
        <v>3301.85583469736</v>
      </c>
      <c r="J17">
        <f t="shared" si="3"/>
        <v>3265.2143880609124</v>
      </c>
      <c r="K17">
        <f t="shared" si="3"/>
        <v>3217.5540860838687</v>
      </c>
      <c r="L17">
        <f t="shared" si="3"/>
        <v>3157.0234200905129</v>
      </c>
      <c r="M17">
        <f t="shared" si="3"/>
        <v>3081.478503190473</v>
      </c>
      <c r="N17">
        <f t="shared" si="3"/>
        <v>2988.3523888591185</v>
      </c>
      <c r="O17">
        <f t="shared" si="3"/>
        <v>2874.452053761725</v>
      </c>
      <c r="P17">
        <f t="shared" si="3"/>
        <v>2735.6243574365253</v>
      </c>
      <c r="Q17">
        <f t="shared" si="3"/>
        <v>2566.1654424695612</v>
      </c>
      <c r="R17">
        <f t="shared" si="2"/>
        <v>2357.6736415373521</v>
      </c>
      <c r="S17">
        <f t="shared" si="2"/>
        <v>2096.5107731359267</v>
      </c>
      <c r="T17">
        <f t="shared" si="2"/>
        <v>1756.9460364507497</v>
      </c>
      <c r="U17">
        <f t="shared" si="2"/>
        <v>1274.5932255527648</v>
      </c>
      <c r="V17">
        <f t="shared" si="2"/>
        <v>0</v>
      </c>
    </row>
    <row r="18" spans="1:22" x14ac:dyDescent="0.25">
      <c r="A18">
        <v>16</v>
      </c>
      <c r="B18">
        <f t="shared" si="3"/>
        <v>4096</v>
      </c>
      <c r="C18">
        <f t="shared" si="3"/>
        <v>4095.7439919994999</v>
      </c>
      <c r="D18">
        <f t="shared" si="3"/>
        <v>4093.9514877438401</v>
      </c>
      <c r="E18">
        <f t="shared" si="3"/>
        <v>4089.0821581376913</v>
      </c>
      <c r="F18">
        <f t="shared" si="3"/>
        <v>4079.5831002689479</v>
      </c>
      <c r="G18">
        <f t="shared" si="3"/>
        <v>4063.8740137952113</v>
      </c>
      <c r="H18">
        <f t="shared" si="3"/>
        <v>4040.325626481113</v>
      </c>
      <c r="I18">
        <f t="shared" si="3"/>
        <v>4007.2300737541887</v>
      </c>
      <c r="J18">
        <f t="shared" si="3"/>
        <v>3962.7609284437031</v>
      </c>
      <c r="K18">
        <f t="shared" si="3"/>
        <v>3904.9189738072669</v>
      </c>
      <c r="L18">
        <f t="shared" si="3"/>
        <v>3831.4571640565159</v>
      </c>
      <c r="M18">
        <f t="shared" si="3"/>
        <v>3739.7736145387194</v>
      </c>
      <c r="N18">
        <f t="shared" si="3"/>
        <v>3626.7530028939109</v>
      </c>
      <c r="O18">
        <f t="shared" si="3"/>
        <v>3488.5201813949707</v>
      </c>
      <c r="P18">
        <f t="shared" si="3"/>
        <v>3320.0347757214836</v>
      </c>
      <c r="Q18">
        <f t="shared" si="3"/>
        <v>3114.3744155126883</v>
      </c>
      <c r="R18">
        <f t="shared" si="2"/>
        <v>2861.3425883665168</v>
      </c>
      <c r="S18">
        <f t="shared" si="2"/>
        <v>2544.387593115483</v>
      </c>
      <c r="T18">
        <f t="shared" si="2"/>
        <v>2132.2817674969692</v>
      </c>
      <c r="U18">
        <f t="shared" si="2"/>
        <v>1546.8841042560371</v>
      </c>
      <c r="V18">
        <f t="shared" si="2"/>
        <v>0</v>
      </c>
    </row>
    <row r="19" spans="1:22" x14ac:dyDescent="0.25">
      <c r="A19">
        <v>17</v>
      </c>
      <c r="B19">
        <f t="shared" si="3"/>
        <v>4913</v>
      </c>
      <c r="C19">
        <f t="shared" si="3"/>
        <v>4912.6929279036967</v>
      </c>
      <c r="D19">
        <f t="shared" si="3"/>
        <v>4910.5428855677455</v>
      </c>
      <c r="E19">
        <f t="shared" si="3"/>
        <v>4904.7023054029487</v>
      </c>
      <c r="F19">
        <f t="shared" si="3"/>
        <v>4893.3085379934919</v>
      </c>
      <c r="G19">
        <f t="shared" si="3"/>
        <v>4874.4660717226252</v>
      </c>
      <c r="H19">
        <f t="shared" si="3"/>
        <v>4846.2206550052997</v>
      </c>
      <c r="I19">
        <f t="shared" si="3"/>
        <v>4806.5237676646311</v>
      </c>
      <c r="J19">
        <f t="shared" si="3"/>
        <v>4753.1846780868927</v>
      </c>
      <c r="K19">
        <f t="shared" si="3"/>
        <v>4683.8053999792728</v>
      </c>
      <c r="L19">
        <f t="shared" si="3"/>
        <v>4595.6906853050932</v>
      </c>
      <c r="M19">
        <f t="shared" si="3"/>
        <v>4485.7196699777169</v>
      </c>
      <c r="N19">
        <f t="shared" si="3"/>
        <v>4350.155640434029</v>
      </c>
      <c r="O19">
        <f t="shared" si="3"/>
        <v>4184.3505007796612</v>
      </c>
      <c r="P19">
        <f t="shared" si="3"/>
        <v>3982.2585090624143</v>
      </c>
      <c r="Q19">
        <f t="shared" si="3"/>
        <v>3735.5765389193939</v>
      </c>
      <c r="R19">
        <f t="shared" si="2"/>
        <v>3432.0742521105217</v>
      </c>
      <c r="S19">
        <f t="shared" si="2"/>
        <v>3051.8984973086835</v>
      </c>
      <c r="T19">
        <f t="shared" si="2"/>
        <v>2557.5928524688989</v>
      </c>
      <c r="U19">
        <f t="shared" si="2"/>
        <v>1855.4300791528101</v>
      </c>
      <c r="V19">
        <f t="shared" si="2"/>
        <v>0</v>
      </c>
    </row>
    <row r="20" spans="1:22" x14ac:dyDescent="0.25">
      <c r="A20">
        <v>18</v>
      </c>
      <c r="B20">
        <f t="shared" si="3"/>
        <v>5832</v>
      </c>
      <c r="C20">
        <f t="shared" si="3"/>
        <v>5831.6354886086629</v>
      </c>
      <c r="D20">
        <f t="shared" si="3"/>
        <v>5829.0832706352721</v>
      </c>
      <c r="E20">
        <f t="shared" si="3"/>
        <v>5822.1501821921429</v>
      </c>
      <c r="F20">
        <f t="shared" si="3"/>
        <v>5808.6251564376234</v>
      </c>
      <c r="G20">
        <f t="shared" si="3"/>
        <v>5786.25811729826</v>
      </c>
      <c r="H20">
        <f t="shared" si="3"/>
        <v>5752.7292611420535</v>
      </c>
      <c r="I20">
        <f t="shared" si="3"/>
        <v>5705.6068823570386</v>
      </c>
      <c r="J20">
        <f t="shared" si="3"/>
        <v>5642.2904625692572</v>
      </c>
      <c r="K20">
        <f t="shared" si="3"/>
        <v>5559.9334607529245</v>
      </c>
      <c r="L20">
        <f t="shared" si="3"/>
        <v>5455.3364699164067</v>
      </c>
      <c r="M20">
        <f t="shared" si="3"/>
        <v>5324.7948535131372</v>
      </c>
      <c r="N20">
        <f t="shared" si="3"/>
        <v>5163.8729279485569</v>
      </c>
      <c r="O20">
        <f t="shared" si="3"/>
        <v>4967.0531489002606</v>
      </c>
      <c r="P20">
        <f t="shared" si="3"/>
        <v>4727.1588896503154</v>
      </c>
      <c r="Q20">
        <f t="shared" si="3"/>
        <v>4434.3338845874023</v>
      </c>
      <c r="R20">
        <f t="shared" si="2"/>
        <v>4074.0600525765444</v>
      </c>
      <c r="S20">
        <f t="shared" si="2"/>
        <v>3622.7706159788809</v>
      </c>
      <c r="T20">
        <f t="shared" si="2"/>
        <v>3036.0027509868955</v>
      </c>
      <c r="U20">
        <f t="shared" si="2"/>
        <v>2202.497093755178</v>
      </c>
      <c r="V20">
        <f t="shared" si="2"/>
        <v>0</v>
      </c>
    </row>
    <row r="21" spans="1:22" x14ac:dyDescent="0.25">
      <c r="A21">
        <v>19</v>
      </c>
      <c r="B21">
        <f t="shared" si="3"/>
        <v>6859</v>
      </c>
      <c r="C21">
        <f t="shared" si="3"/>
        <v>6858.5712991026785</v>
      </c>
      <c r="D21">
        <f t="shared" si="3"/>
        <v>6855.5696421960447</v>
      </c>
      <c r="E21">
        <f t="shared" si="3"/>
        <v>6847.4156549478575</v>
      </c>
      <c r="F21">
        <f t="shared" si="3"/>
        <v>6831.5089074083771</v>
      </c>
      <c r="G21">
        <f t="shared" si="3"/>
        <v>6805.2030909720106</v>
      </c>
      <c r="H21">
        <f t="shared" si="3"/>
        <v>6765.7698906332898</v>
      </c>
      <c r="I21">
        <f t="shared" si="3"/>
        <v>6710.3493837597607</v>
      </c>
      <c r="J21">
        <f t="shared" si="3"/>
        <v>6635.8831074695699</v>
      </c>
      <c r="K21">
        <f t="shared" si="3"/>
        <v>6539.0232522812603</v>
      </c>
      <c r="L21">
        <f t="shared" si="3"/>
        <v>6416.0070039706161</v>
      </c>
      <c r="M21">
        <f t="shared" si="3"/>
        <v>6262.477349150653</v>
      </c>
      <c r="N21">
        <f t="shared" si="3"/>
        <v>6073.2174919065756</v>
      </c>
      <c r="O21">
        <f t="shared" si="3"/>
        <v>5841.7382627412362</v>
      </c>
      <c r="P21">
        <f t="shared" si="3"/>
        <v>5559.5992496761855</v>
      </c>
      <c r="Q21">
        <f t="shared" si="3"/>
        <v>5215.2085244144355</v>
      </c>
      <c r="R21">
        <f t="shared" si="2"/>
        <v>4791.4914095717622</v>
      </c>
      <c r="S21">
        <f t="shared" si="2"/>
        <v>4260.7310793894285</v>
      </c>
      <c r="T21">
        <f t="shared" si="2"/>
        <v>3570.6349226713164</v>
      </c>
      <c r="U21">
        <f t="shared" si="2"/>
        <v>2590.351091575234</v>
      </c>
      <c r="V21">
        <f t="shared" si="2"/>
        <v>0</v>
      </c>
    </row>
    <row r="22" spans="1:22" x14ac:dyDescent="0.25">
      <c r="A22">
        <v>20</v>
      </c>
      <c r="B22">
        <f t="shared" si="3"/>
        <v>8000</v>
      </c>
      <c r="C22">
        <f t="shared" si="3"/>
        <v>7999.4999843740234</v>
      </c>
      <c r="D22">
        <f t="shared" si="3"/>
        <v>7995.9989994996877</v>
      </c>
      <c r="E22">
        <f t="shared" si="3"/>
        <v>7986.4885901126781</v>
      </c>
      <c r="F22">
        <f t="shared" si="3"/>
        <v>7967.9357427127889</v>
      </c>
      <c r="G22">
        <f t="shared" si="3"/>
        <v>7937.2539331937724</v>
      </c>
      <c r="H22">
        <f t="shared" si="3"/>
        <v>7891.2609892209239</v>
      </c>
      <c r="I22">
        <f t="shared" si="3"/>
        <v>7826.6212378011496</v>
      </c>
      <c r="J22">
        <f t="shared" si="3"/>
        <v>7739.7674383666072</v>
      </c>
      <c r="K22">
        <f t="shared" si="3"/>
        <v>7626.7948707173182</v>
      </c>
      <c r="L22">
        <f t="shared" si="3"/>
        <v>7483.3147735478824</v>
      </c>
      <c r="M22">
        <f t="shared" si="3"/>
        <v>7304.2453408959364</v>
      </c>
      <c r="N22">
        <f t="shared" si="3"/>
        <v>7083.5019587771694</v>
      </c>
      <c r="O22">
        <f t="shared" si="3"/>
        <v>6813.5159792870518</v>
      </c>
      <c r="P22">
        <f t="shared" si="3"/>
        <v>6484.4429213310223</v>
      </c>
      <c r="Q22">
        <f t="shared" si="3"/>
        <v>6082.7625302982196</v>
      </c>
      <c r="R22">
        <f t="shared" si="2"/>
        <v>5588.5597429033533</v>
      </c>
      <c r="S22">
        <f t="shared" si="2"/>
        <v>4969.5070178036776</v>
      </c>
      <c r="T22">
        <f t="shared" si="2"/>
        <v>4164.6128271425177</v>
      </c>
      <c r="U22">
        <f t="shared" si="2"/>
        <v>3021.2580161250726</v>
      </c>
      <c r="V22">
        <f t="shared" si="2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7"/>
  <sheetViews>
    <sheetView tabSelected="1" topLeftCell="C1" zoomScale="85" zoomScaleNormal="85" workbookViewId="0">
      <selection activeCell="N5" sqref="N5"/>
    </sheetView>
  </sheetViews>
  <sheetFormatPr defaultRowHeight="15" x14ac:dyDescent="0.25"/>
  <cols>
    <col min="1" max="1" width="4" customWidth="1"/>
  </cols>
  <sheetData>
    <row r="1" spans="1:19" x14ac:dyDescent="0.25">
      <c r="A1" t="s">
        <v>0</v>
      </c>
    </row>
    <row r="2" spans="1:19" x14ac:dyDescent="0.25">
      <c r="A2" t="s">
        <v>7</v>
      </c>
      <c r="M2" t="s">
        <v>8</v>
      </c>
    </row>
    <row r="3" spans="1:19" x14ac:dyDescent="0.25">
      <c r="B3" t="s">
        <v>1</v>
      </c>
      <c r="C3" t="s">
        <v>3</v>
      </c>
      <c r="D3" t="s">
        <v>2</v>
      </c>
      <c r="E3" t="s">
        <v>4</v>
      </c>
      <c r="F3" t="s">
        <v>5</v>
      </c>
      <c r="G3" t="s">
        <v>6</v>
      </c>
      <c r="N3" t="s">
        <v>1</v>
      </c>
      <c r="O3" t="s">
        <v>3</v>
      </c>
      <c r="P3" t="s">
        <v>2</v>
      </c>
      <c r="Q3" t="s">
        <v>4</v>
      </c>
      <c r="R3" t="s">
        <v>5</v>
      </c>
      <c r="S3" t="s">
        <v>6</v>
      </c>
    </row>
    <row r="4" spans="1:19" x14ac:dyDescent="0.25">
      <c r="A4">
        <v>0</v>
      </c>
      <c r="B4">
        <v>-5</v>
      </c>
      <c r="C4">
        <f>(B4+D4)/2</f>
        <v>-2.5</v>
      </c>
      <c r="D4">
        <v>0</v>
      </c>
      <c r="E4">
        <f>COS(B4)-B4^2</f>
        <v>-24.716337814536775</v>
      </c>
      <c r="F4">
        <f>COS(C4)-C4^2</f>
        <v>-7.051143615546934</v>
      </c>
      <c r="G4">
        <f>COS(D4)-D4^2</f>
        <v>1</v>
      </c>
      <c r="M4">
        <v>0</v>
      </c>
      <c r="N4">
        <v>0.7</v>
      </c>
      <c r="O4">
        <f>(N4+P4)/2</f>
        <v>0.8</v>
      </c>
      <c r="P4">
        <v>0.9</v>
      </c>
      <c r="Q4">
        <f>COS(N4)-N4^2</f>
        <v>0.27484218728448856</v>
      </c>
      <c r="R4">
        <f>COS(O4)-O4^2</f>
        <v>5.6706709347165263E-2</v>
      </c>
      <c r="S4">
        <f>COS(P4)-P4^2</f>
        <v>-0.18839003172933566</v>
      </c>
    </row>
    <row r="5" spans="1:19" x14ac:dyDescent="0.25">
      <c r="A5">
        <v>1</v>
      </c>
      <c r="B5">
        <f>IF(COS(C4)-C4^2&gt;0,B4,C4)</f>
        <v>-2.5</v>
      </c>
      <c r="C5">
        <f>(B5+D5)/2</f>
        <v>-1.25</v>
      </c>
      <c r="D5">
        <f>IF(COS(C4)-C4^2&lt;0,D4,C4)</f>
        <v>0</v>
      </c>
      <c r="E5">
        <f t="shared" ref="E5:E14" si="0">COS(B5)-B5^2</f>
        <v>-7.051143615546934</v>
      </c>
      <c r="F5">
        <f t="shared" ref="F5:F14" si="1">COS(C5)-C5^2</f>
        <v>-1.2471776376047314</v>
      </c>
      <c r="G5">
        <f t="shared" ref="G5:G14" si="2">COS(D5)-D5^2</f>
        <v>1</v>
      </c>
      <c r="M5">
        <v>1</v>
      </c>
      <c r="N5">
        <f>IF(COS(O4)-O4^2&gt;0,N4,O4)</f>
        <v>0.7</v>
      </c>
      <c r="O5">
        <f>(N5+P5)/2</f>
        <v>0.75</v>
      </c>
      <c r="P5">
        <f>IF(R4&lt;0,P4,O4)</f>
        <v>0.8</v>
      </c>
      <c r="Q5">
        <f t="shared" ref="Q5:Q14" si="3">COS(N5)-N5^2</f>
        <v>0.27484218728448856</v>
      </c>
      <c r="R5">
        <f t="shared" ref="R5:R14" si="4">COS(O5)-O5^2</f>
        <v>0.1691888688738209</v>
      </c>
      <c r="S5">
        <f t="shared" ref="S5:S14" si="5">COS(P5)-P5^2</f>
        <v>5.6706709347165263E-2</v>
      </c>
    </row>
    <row r="6" spans="1:19" x14ac:dyDescent="0.25">
      <c r="A6">
        <v>2</v>
      </c>
      <c r="B6">
        <f t="shared" ref="B6:B14" si="6">IF(COS(C5)-C5^2&gt;0,B5,C5)</f>
        <v>-1.25</v>
      </c>
      <c r="C6">
        <f>(B6+D6)/2</f>
        <v>-0.625</v>
      </c>
      <c r="D6">
        <f>IF(COS(C5)-C5^2&lt;0,D5,C5)</f>
        <v>0</v>
      </c>
      <c r="E6">
        <f t="shared" si="0"/>
        <v>-1.2471776376047314</v>
      </c>
      <c r="F6">
        <f t="shared" si="1"/>
        <v>0.42033811950521793</v>
      </c>
      <c r="G6">
        <f t="shared" si="2"/>
        <v>1</v>
      </c>
      <c r="M6">
        <v>2</v>
      </c>
      <c r="N6">
        <f t="shared" ref="N6:N14" si="7">IF(COS(O5)-O5^2&gt;0,N5,O5)</f>
        <v>0.7</v>
      </c>
      <c r="O6">
        <f>(N6+P6)/2</f>
        <v>0.72499999999999998</v>
      </c>
      <c r="P6">
        <f t="shared" ref="P6:P14" si="8">IF(R5&lt;0,P5,O5)</f>
        <v>0.75</v>
      </c>
      <c r="Q6">
        <f t="shared" si="3"/>
        <v>0.27484218728448856</v>
      </c>
      <c r="R6">
        <f t="shared" si="4"/>
        <v>0.22287442196616514</v>
      </c>
      <c r="S6">
        <f t="shared" si="5"/>
        <v>0.1691888688738209</v>
      </c>
    </row>
    <row r="7" spans="1:19" x14ac:dyDescent="0.25">
      <c r="A7">
        <v>3</v>
      </c>
      <c r="B7">
        <f t="shared" si="6"/>
        <v>-1.25</v>
      </c>
      <c r="C7">
        <f>(B7+D7)/2</f>
        <v>-0.9375</v>
      </c>
      <c r="D7">
        <f>IF(COS(C6)-C6^2&lt;0,D6,C6)</f>
        <v>-0.625</v>
      </c>
      <c r="E7">
        <f t="shared" si="0"/>
        <v>-1.2471776376047314</v>
      </c>
      <c r="F7">
        <f t="shared" si="1"/>
        <v>-0.28710117490752252</v>
      </c>
      <c r="G7">
        <f t="shared" si="2"/>
        <v>0.42033811950521793</v>
      </c>
      <c r="M7">
        <v>3</v>
      </c>
      <c r="N7">
        <f t="shared" si="7"/>
        <v>0.7</v>
      </c>
      <c r="O7">
        <f>(N7+P7)/2</f>
        <v>0.71249999999999991</v>
      </c>
      <c r="P7">
        <f t="shared" si="8"/>
        <v>0.72499999999999998</v>
      </c>
      <c r="Q7">
        <f t="shared" si="3"/>
        <v>0.27484218728448856</v>
      </c>
      <c r="R7">
        <f t="shared" si="4"/>
        <v>0.24907367338080955</v>
      </c>
      <c r="S7">
        <f t="shared" si="5"/>
        <v>0.22287442196616514</v>
      </c>
    </row>
    <row r="8" spans="1:19" x14ac:dyDescent="0.25">
      <c r="A8">
        <v>4</v>
      </c>
      <c r="B8">
        <f t="shared" si="6"/>
        <v>-0.9375</v>
      </c>
      <c r="C8">
        <f>(B8+D8)/2</f>
        <v>-0.78125</v>
      </c>
      <c r="D8">
        <f>IF(COS(C7)-C7^2&lt;0,D7,C7)</f>
        <v>-0.625</v>
      </c>
      <c r="E8">
        <f t="shared" si="0"/>
        <v>-0.28710117490752252</v>
      </c>
      <c r="F8">
        <f t="shared" si="1"/>
        <v>9.968232106607966E-2</v>
      </c>
      <c r="G8">
        <f t="shared" si="2"/>
        <v>0.42033811950521793</v>
      </c>
      <c r="M8">
        <v>4</v>
      </c>
      <c r="N8">
        <f t="shared" si="7"/>
        <v>0.7</v>
      </c>
      <c r="O8">
        <f>(N8+P8)/2</f>
        <v>0.70624999999999993</v>
      </c>
      <c r="P8">
        <f t="shared" si="8"/>
        <v>0.71249999999999991</v>
      </c>
      <c r="Q8">
        <f t="shared" si="3"/>
        <v>0.27484218728448856</v>
      </c>
      <c r="R8">
        <f t="shared" si="4"/>
        <v>0.26201185217714351</v>
      </c>
      <c r="S8">
        <f t="shared" si="5"/>
        <v>0.24907367338080955</v>
      </c>
    </row>
    <row r="9" spans="1:19" x14ac:dyDescent="0.25">
      <c r="A9">
        <v>5</v>
      </c>
      <c r="B9">
        <f t="shared" si="6"/>
        <v>-0.9375</v>
      </c>
      <c r="C9">
        <f>(B9+D9)/2</f>
        <v>-0.859375</v>
      </c>
      <c r="D9">
        <f>IF(COS(C8)-C8^2&lt;0,D8,C8)</f>
        <v>-0.78125</v>
      </c>
      <c r="E9">
        <f t="shared" si="0"/>
        <v>-0.28710117490752252</v>
      </c>
      <c r="F9">
        <f t="shared" si="1"/>
        <v>-8.5614398319164176E-2</v>
      </c>
      <c r="G9">
        <f t="shared" si="2"/>
        <v>9.968232106607966E-2</v>
      </c>
      <c r="M9">
        <v>5</v>
      </c>
      <c r="N9">
        <f t="shared" si="7"/>
        <v>0.7</v>
      </c>
      <c r="O9">
        <f>(N9+P9)/2</f>
        <v>0.703125</v>
      </c>
      <c r="P9">
        <f t="shared" si="8"/>
        <v>0.70624999999999993</v>
      </c>
      <c r="Q9">
        <f t="shared" si="3"/>
        <v>0.27484218728448856</v>
      </c>
      <c r="R9">
        <f t="shared" si="4"/>
        <v>0.26844051008557623</v>
      </c>
      <c r="S9">
        <f t="shared" si="5"/>
        <v>0.26201185217714351</v>
      </c>
    </row>
    <row r="10" spans="1:19" x14ac:dyDescent="0.25">
      <c r="A10">
        <v>6</v>
      </c>
      <c r="B10">
        <f t="shared" si="6"/>
        <v>-0.859375</v>
      </c>
      <c r="C10">
        <f>(B10+D10)/2</f>
        <v>-0.8203125</v>
      </c>
      <c r="D10">
        <f>IF(COS(C9)-C9^2&lt;0,D9,C9)</f>
        <v>-0.78125</v>
      </c>
      <c r="E10">
        <f t="shared" si="0"/>
        <v>-8.5614398319164176E-2</v>
      </c>
      <c r="F10">
        <f t="shared" si="1"/>
        <v>9.0800932517105526E-3</v>
      </c>
      <c r="G10">
        <f t="shared" si="2"/>
        <v>9.968232106607966E-2</v>
      </c>
      <c r="M10">
        <v>6</v>
      </c>
      <c r="N10">
        <f t="shared" si="7"/>
        <v>0.7</v>
      </c>
      <c r="O10">
        <f>(N10+P10)/2</f>
        <v>0.70156249999999998</v>
      </c>
      <c r="P10">
        <f t="shared" si="8"/>
        <v>0.703125</v>
      </c>
      <c r="Q10">
        <f t="shared" si="3"/>
        <v>0.27484218728448856</v>
      </c>
      <c r="R10">
        <f t="shared" si="4"/>
        <v>0.27164472250645388</v>
      </c>
      <c r="S10">
        <f t="shared" si="5"/>
        <v>0.26844051008557623</v>
      </c>
    </row>
    <row r="11" spans="1:19" x14ac:dyDescent="0.25">
      <c r="A11">
        <v>7</v>
      </c>
      <c r="B11">
        <f t="shared" si="6"/>
        <v>-0.859375</v>
      </c>
      <c r="C11">
        <f>(B11+D11)/2</f>
        <v>-0.83984375</v>
      </c>
      <c r="D11">
        <f>IF(COS(C10)-C10^2&lt;0,D10,C10)</f>
        <v>-0.8203125</v>
      </c>
      <c r="E11">
        <f t="shared" si="0"/>
        <v>-8.5614398319164176E-2</v>
      </c>
      <c r="F11">
        <f t="shared" si="1"/>
        <v>-3.7758356233471901E-2</v>
      </c>
      <c r="G11">
        <f t="shared" si="2"/>
        <v>9.0800932517105526E-3</v>
      </c>
      <c r="M11">
        <v>7</v>
      </c>
      <c r="N11">
        <f t="shared" si="7"/>
        <v>0.7</v>
      </c>
      <c r="O11">
        <f>(N11+P11)/2</f>
        <v>0.70078124999999991</v>
      </c>
      <c r="P11">
        <f t="shared" si="8"/>
        <v>0.70156249999999998</v>
      </c>
      <c r="Q11">
        <f t="shared" si="3"/>
        <v>0.27484218728448856</v>
      </c>
      <c r="R11">
        <f t="shared" si="4"/>
        <v>0.27324429850466925</v>
      </c>
      <c r="S11">
        <f t="shared" si="5"/>
        <v>0.27164472250645388</v>
      </c>
    </row>
    <row r="12" spans="1:19" x14ac:dyDescent="0.25">
      <c r="A12">
        <v>8</v>
      </c>
      <c r="B12">
        <f t="shared" si="6"/>
        <v>-0.83984375</v>
      </c>
      <c r="C12">
        <f>(B12+D12)/2</f>
        <v>-0.830078125</v>
      </c>
      <c r="D12">
        <f>IF(COS(C11)-C11^2&lt;0,D11,C11)</f>
        <v>-0.8203125</v>
      </c>
      <c r="E12">
        <f t="shared" si="0"/>
        <v>-3.7758356233471901E-2</v>
      </c>
      <c r="F12">
        <f t="shared" si="1"/>
        <v>-1.4211586480115224E-2</v>
      </c>
      <c r="G12">
        <f t="shared" si="2"/>
        <v>9.0800932517105526E-3</v>
      </c>
      <c r="M12">
        <v>8</v>
      </c>
      <c r="N12">
        <f t="shared" si="7"/>
        <v>0.7</v>
      </c>
      <c r="O12">
        <f>(N12+P12)/2</f>
        <v>0.70039062499999993</v>
      </c>
      <c r="P12">
        <f t="shared" si="8"/>
        <v>0.70078124999999991</v>
      </c>
      <c r="Q12">
        <f t="shared" si="3"/>
        <v>0.27484218728448856</v>
      </c>
      <c r="R12">
        <f t="shared" si="4"/>
        <v>0.27404345381609313</v>
      </c>
      <c r="S12">
        <f t="shared" si="5"/>
        <v>0.27324429850466925</v>
      </c>
    </row>
    <row r="13" spans="1:19" x14ac:dyDescent="0.25">
      <c r="A13">
        <v>9</v>
      </c>
      <c r="B13">
        <f t="shared" si="6"/>
        <v>-0.830078125</v>
      </c>
      <c r="C13">
        <f>(B13+D13)/2</f>
        <v>-0.8251953125</v>
      </c>
      <c r="D13">
        <f>IF(COS(C12)-C12^2&lt;0,D12,C12)</f>
        <v>-0.8203125</v>
      </c>
      <c r="E13">
        <f t="shared" si="0"/>
        <v>-1.4211586480115224E-2</v>
      </c>
      <c r="F13">
        <f t="shared" si="1"/>
        <v>-2.5338174533876545E-3</v>
      </c>
      <c r="G13">
        <f t="shared" si="2"/>
        <v>9.0800932517105526E-3</v>
      </c>
      <c r="M13">
        <v>9</v>
      </c>
      <c r="N13">
        <f t="shared" si="7"/>
        <v>0.7</v>
      </c>
      <c r="O13">
        <f>(N13+P13)/2</f>
        <v>0.7001953125</v>
      </c>
      <c r="P13">
        <f t="shared" si="8"/>
        <v>0.70039062499999993</v>
      </c>
      <c r="Q13">
        <f t="shared" si="3"/>
        <v>0.27484218728448856</v>
      </c>
      <c r="R13">
        <f t="shared" si="4"/>
        <v>0.27444287328307015</v>
      </c>
      <c r="S13">
        <f t="shared" si="5"/>
        <v>0.27404345381609313</v>
      </c>
    </row>
    <row r="14" spans="1:19" x14ac:dyDescent="0.25">
      <c r="A14">
        <v>10</v>
      </c>
      <c r="B14">
        <f t="shared" si="6"/>
        <v>-0.8251953125</v>
      </c>
      <c r="C14">
        <f>(B14+D14)/2</f>
        <v>-0.82275390625</v>
      </c>
      <c r="D14">
        <f>IF(COS(C13)-C13^2&lt;0,D13,C13)</f>
        <v>-0.8203125</v>
      </c>
      <c r="E14">
        <f t="shared" si="0"/>
        <v>-2.5338174533876545E-3</v>
      </c>
      <c r="F14">
        <f t="shared" si="1"/>
        <v>3.2811255318471177E-3</v>
      </c>
      <c r="G14">
        <f t="shared" si="2"/>
        <v>9.0800932517105526E-3</v>
      </c>
      <c r="M14">
        <v>10</v>
      </c>
      <c r="N14">
        <f t="shared" si="7"/>
        <v>0.7</v>
      </c>
      <c r="O14">
        <f>(N14+P14)/2</f>
        <v>0.70009765624999998</v>
      </c>
      <c r="P14">
        <f t="shared" si="8"/>
        <v>0.7001953125</v>
      </c>
      <c r="Q14">
        <f t="shared" si="3"/>
        <v>0.27484218728448856</v>
      </c>
      <c r="R14">
        <f t="shared" si="4"/>
        <v>0.27464254346727424</v>
      </c>
      <c r="S14">
        <f t="shared" si="5"/>
        <v>0.27444287328307015</v>
      </c>
    </row>
    <row r="16" spans="1:19" x14ac:dyDescent="0.25">
      <c r="B16" t="s">
        <v>3</v>
      </c>
      <c r="C16" t="s">
        <v>5</v>
      </c>
    </row>
    <row r="17" spans="2:3" x14ac:dyDescent="0.25">
      <c r="B17">
        <v>-0.5</v>
      </c>
      <c r="C17">
        <f>COS(B17)-B17^2</f>
        <v>0.62758256189037276</v>
      </c>
    </row>
    <row r="18" spans="2:3" x14ac:dyDescent="0.25">
      <c r="B18">
        <f>B17-0.05</f>
        <v>-0.55000000000000004</v>
      </c>
      <c r="C18">
        <f t="shared" ref="C18:C26" si="9">COS(B18)-B18^2</f>
        <v>0.55002452205950569</v>
      </c>
    </row>
    <row r="19" spans="2:3" x14ac:dyDescent="0.25">
      <c r="B19">
        <f t="shared" ref="B19:B27" si="10">B18-0.05</f>
        <v>-0.60000000000000009</v>
      </c>
      <c r="C19">
        <f t="shared" si="9"/>
        <v>0.46533561490967812</v>
      </c>
    </row>
    <row r="20" spans="2:3" x14ac:dyDescent="0.25">
      <c r="B20">
        <f t="shared" si="10"/>
        <v>-0.65000000000000013</v>
      </c>
      <c r="C20">
        <f t="shared" si="9"/>
        <v>0.3735837985490556</v>
      </c>
    </row>
    <row r="21" spans="2:3" x14ac:dyDescent="0.25">
      <c r="B21">
        <f t="shared" si="10"/>
        <v>-0.70000000000000018</v>
      </c>
      <c r="C21">
        <f t="shared" si="9"/>
        <v>0.274842187284488</v>
      </c>
    </row>
    <row r="22" spans="2:3" x14ac:dyDescent="0.25">
      <c r="B22">
        <f t="shared" si="10"/>
        <v>-0.75000000000000022</v>
      </c>
      <c r="C22">
        <f t="shared" si="9"/>
        <v>0.16918886887382045</v>
      </c>
    </row>
    <row r="23" spans="2:3" x14ac:dyDescent="0.25">
      <c r="B23">
        <f t="shared" si="10"/>
        <v>-0.80000000000000027</v>
      </c>
      <c r="C23">
        <f t="shared" si="9"/>
        <v>5.6706709347164819E-2</v>
      </c>
    </row>
    <row r="24" spans="2:3" x14ac:dyDescent="0.25">
      <c r="B24">
        <f t="shared" si="10"/>
        <v>-0.85000000000000031</v>
      </c>
      <c r="C24">
        <f t="shared" si="9"/>
        <v>-6.2516854115018505E-2</v>
      </c>
    </row>
    <row r="25" spans="2:3" x14ac:dyDescent="0.25">
      <c r="B25">
        <f t="shared" si="10"/>
        <v>-0.90000000000000036</v>
      </c>
      <c r="C25">
        <f t="shared" si="9"/>
        <v>-0.18839003172933644</v>
      </c>
    </row>
    <row r="26" spans="2:3" x14ac:dyDescent="0.25">
      <c r="B26">
        <f t="shared" si="10"/>
        <v>-0.9500000000000004</v>
      </c>
      <c r="C26">
        <f t="shared" si="9"/>
        <v>-0.32081691053611761</v>
      </c>
    </row>
    <row r="27" spans="2:3" x14ac:dyDescent="0.25">
      <c r="B27">
        <f t="shared" si="10"/>
        <v>-1.0000000000000004</v>
      </c>
      <c r="C27">
        <f>COS(B27)-B27^2</f>
        <v>-0.45969769413186157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 1</vt:lpstr>
      <vt:lpstr>задание 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Алиска</dc:creator>
  <cp:lastModifiedBy>Алиска</cp:lastModifiedBy>
  <dcterms:created xsi:type="dcterms:W3CDTF">2022-12-09T23:30:42Z</dcterms:created>
  <dcterms:modified xsi:type="dcterms:W3CDTF">2022-12-10T00:49:34Z</dcterms:modified>
</cp:coreProperties>
</file>